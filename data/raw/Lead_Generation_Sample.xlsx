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<sst xmlns="http://schemas.openxmlformats.org/spreadsheetml/2006/main" count="699" uniqueCount="548">
  <si>
    <t>Law Firms Name</t>
  </si>
  <si>
    <t>Website</t>
  </si>
  <si>
    <t>Address</t>
  </si>
  <si>
    <t>Phone Number</t>
  </si>
  <si>
    <t>First Name</t>
  </si>
  <si>
    <t>Last Name</t>
  </si>
  <si>
    <t>Title</t>
  </si>
  <si>
    <t>Email</t>
  </si>
  <si>
    <t>Werman Salas P.C.</t>
  </si>
  <si>
    <t>https://www.flsalaw.com/</t>
  </si>
  <si>
    <t>Chicago, Illinois, US</t>
  </si>
  <si>
    <t>Douglas</t>
  </si>
  <si>
    <t>Werman</t>
  </si>
  <si>
    <t>Managing Shareholder</t>
  </si>
  <si>
    <t>dwerman@flsalaw.com</t>
  </si>
  <si>
    <t>Tycko &amp; Zavareei LLP</t>
  </si>
  <si>
    <t>https://www.tzlegal.com/</t>
  </si>
  <si>
    <t>Washington,Coulumbia</t>
  </si>
  <si>
    <t>Jonathan</t>
  </si>
  <si>
    <t>Tyco</t>
  </si>
  <si>
    <t>Partner</t>
  </si>
  <si>
    <t>jtycko@tzlegal.com</t>
  </si>
  <si>
    <t>Goodwin Procter LLP</t>
  </si>
  <si>
    <t>https://www.goodwinlaw.com/</t>
  </si>
  <si>
    <t>Edinburgh Tower, HK</t>
  </si>
  <si>
    <t>Pamela</t>
  </si>
  <si>
    <t>Goodwin</t>
  </si>
  <si>
    <t>CEO</t>
  </si>
  <si>
    <t>pam@pamgoodwin.com</t>
  </si>
  <si>
    <t>O'Melveny &amp; Myers LLP</t>
  </si>
  <si>
    <t>https://www.omm.com/locations/</t>
  </si>
  <si>
    <t>New York, US</t>
  </si>
  <si>
    <t>Bradley</t>
  </si>
  <si>
    <t>Butwin</t>
  </si>
  <si>
    <t>Chair</t>
  </si>
  <si>
    <t>bbutwin@omm.com</t>
  </si>
  <si>
    <t>Seyfarth Shaw LLP</t>
  </si>
  <si>
    <t>https://www.seyfarth.com/</t>
  </si>
  <si>
    <t>Alan</t>
  </si>
  <si>
    <t>Yoshitake</t>
  </si>
  <si>
    <t>ayoshitake@seyfarth.com</t>
  </si>
  <si>
    <t>Eversheds Sutherland (US) LLP</t>
  </si>
  <si>
    <t>https://www.eversheds-sutherland.com</t>
  </si>
  <si>
    <t>London,England</t>
  </si>
  <si>
    <t>Kathryn</t>
  </si>
  <si>
    <t>Roberts</t>
  </si>
  <si>
    <t>kathrynroberts@eversheds.com</t>
  </si>
  <si>
    <t>Barton &amp; Downes LLP</t>
  </si>
  <si>
    <t>https://www.thebartonfirm.com/</t>
  </si>
  <si>
    <t>R Joseph</t>
  </si>
  <si>
    <t>Barton</t>
  </si>
  <si>
    <t>jbarton@thebartonfirm.com</t>
  </si>
  <si>
    <t>Skadden Arps Slate Meagher &amp; Flom LLP</t>
  </si>
  <si>
    <t>https://www.skadden.com/</t>
  </si>
  <si>
    <t>Now York, US</t>
  </si>
  <si>
    <t>Eric</t>
  </si>
  <si>
    <t>Friedman</t>
  </si>
  <si>
    <t>eric.friedman@skadden.com</t>
  </si>
  <si>
    <t>Carr Maloney P.C.</t>
  </si>
  <si>
    <t>https://www.carrmaloney.com/</t>
  </si>
  <si>
    <t>Steven</t>
  </si>
  <si>
    <t>Thebodo</t>
  </si>
  <si>
    <t>Managing Partner</t>
  </si>
  <si>
    <t>steventhebodo@yahoo.com</t>
  </si>
  <si>
    <t>Bertram Law Group, PLLC</t>
  </si>
  <si>
    <t>https://www.blg-dc.com/</t>
  </si>
  <si>
    <t>Katie</t>
  </si>
  <si>
    <t>Bertram</t>
  </si>
  <si>
    <t>Founding Partner</t>
  </si>
  <si>
    <t>katie@blg-dc.com</t>
  </si>
  <si>
    <t>Bienstock PLLC</t>
  </si>
  <si>
    <t>https://www.bienstockpllc.com/</t>
  </si>
  <si>
    <t>Wasington,US</t>
  </si>
  <si>
    <t>Martin</t>
  </si>
  <si>
    <t>Bienstock</t>
  </si>
  <si>
    <t>bieny1@gmail.com</t>
  </si>
  <si>
    <t>Jones Day</t>
  </si>
  <si>
    <t>https://www.jonesday.com/en/locations</t>
  </si>
  <si>
    <t>Karl</t>
  </si>
  <si>
    <t>Kellar</t>
  </si>
  <si>
    <t>Owner</t>
  </si>
  <si>
    <t>klkellar@jonesday.com</t>
  </si>
  <si>
    <t>Fox Rothschild LLP</t>
  </si>
  <si>
    <t>https://www.foxrothschild.com/</t>
  </si>
  <si>
    <t>Exton, Pennsylvania,US</t>
  </si>
  <si>
    <t>Todd</t>
  </si>
  <si>
    <t>Rodriguez</t>
  </si>
  <si>
    <t>Firmwide Director</t>
  </si>
  <si>
    <t>rodriguez@foxrothschild.com</t>
  </si>
  <si>
    <t>Williams &amp; Connolly LLP</t>
  </si>
  <si>
    <t>https://www.wc.com/</t>
  </si>
  <si>
    <t>Mark</t>
  </si>
  <si>
    <t>Levinstein</t>
  </si>
  <si>
    <t>Attorney</t>
  </si>
  <si>
    <t>mlevinstein@wc.com</t>
  </si>
  <si>
    <t>Zelle LLP</t>
  </si>
  <si>
    <t>https://www.zellelaw.com/</t>
  </si>
  <si>
    <t>Dallas, Texas</t>
  </si>
  <si>
    <t>Brad</t>
  </si>
  <si>
    <t>Brewer</t>
  </si>
  <si>
    <t>Dickinson Wright PLLC</t>
  </si>
  <si>
    <t>https://www.dickinson-wright.com/</t>
  </si>
  <si>
    <t>Michigan, United States</t>
  </si>
  <si>
    <t>Mike</t>
  </si>
  <si>
    <t>Hammer</t>
  </si>
  <si>
    <t>mhammer@dickinson-wright.com</t>
  </si>
  <si>
    <t>McGuireWoods LLP</t>
  </si>
  <si>
    <t>https://www.mcguirewoods.com/</t>
  </si>
  <si>
    <t>Virginia, United States</t>
  </si>
  <si>
    <t>Stephen</t>
  </si>
  <si>
    <t>Robinson</t>
  </si>
  <si>
    <t>swrobinson@mcguirewoods.com</t>
  </si>
  <si>
    <t>Hollingsworth LLP</t>
  </si>
  <si>
    <t>https://hollingsworthllp.com/</t>
  </si>
  <si>
    <t>Jeo</t>
  </si>
  <si>
    <t>G.Hollingsworth</t>
  </si>
  <si>
    <t>Founder/Partner</t>
  </si>
  <si>
    <t>jhollingsworth@hollingsworthllp.com</t>
  </si>
  <si>
    <t>Wilson, Elser, Moskowitz, Edelma n &amp; Dicker LLP</t>
  </si>
  <si>
    <t>https://www.wilsonelser.com/</t>
  </si>
  <si>
    <t>Pennsylvania, US</t>
  </si>
  <si>
    <t>Louis</t>
  </si>
  <si>
    <t>Isaacsohn</t>
  </si>
  <si>
    <t>louis.isaacsohn@wilsonelser.com</t>
  </si>
  <si>
    <t>Burns Charest LLP</t>
  </si>
  <si>
    <t>https://burnscharest.com/</t>
  </si>
  <si>
    <t>Texas, United States</t>
  </si>
  <si>
    <t>Daniel</t>
  </si>
  <si>
    <t>Charest</t>
  </si>
  <si>
    <t>dcharest@burnscharest.com</t>
  </si>
  <si>
    <t>Duddy &amp; Czarnecki PLLC</t>
  </si>
  <si>
    <t>https://www.duddyczarnecki.com/</t>
  </si>
  <si>
    <t>Sean</t>
  </si>
  <si>
    <t>Duddy</t>
  </si>
  <si>
    <t>skd@duddyczarnecki.com</t>
  </si>
  <si>
    <t>Outten &amp; Golden LLP</t>
  </si>
  <si>
    <t>https://www.outtengolden.com/</t>
  </si>
  <si>
    <t>Adam</t>
  </si>
  <si>
    <t>Klein</t>
  </si>
  <si>
    <t>aklein@outtengolden.com</t>
  </si>
  <si>
    <t>Levi &amp; Korsinsky LLP</t>
  </si>
  <si>
    <t>https://zlk.com/</t>
  </si>
  <si>
    <t>Eduard</t>
  </si>
  <si>
    <t>Korsinsky</t>
  </si>
  <si>
    <t>ekorsinsky@zlk.com</t>
  </si>
  <si>
    <t>Crowell &amp; Moring LLP</t>
  </si>
  <si>
    <t>https://www.crowell.com/en/locations</t>
  </si>
  <si>
    <t>Qatar</t>
  </si>
  <si>
    <t>Charbel</t>
  </si>
  <si>
    <t>Maakaron</t>
  </si>
  <si>
    <t>cmaakaron@crowell.com</t>
  </si>
  <si>
    <t>Fay Law Group PLLC</t>
  </si>
  <si>
    <t>https://www.faylawpa.com/</t>
  </si>
  <si>
    <t>Caragh</t>
  </si>
  <si>
    <t>Fay</t>
  </si>
  <si>
    <t>caraghfay@gmail.com</t>
  </si>
  <si>
    <t>The Law Offices of Kenneth R. Feinberg PC</t>
  </si>
  <si>
    <t>https://feinberglawoffices.com/</t>
  </si>
  <si>
    <t>Ken</t>
  </si>
  <si>
    <t>Feinberg</t>
  </si>
  <si>
    <t>kfeinberg@thefeinberggroup.com</t>
  </si>
  <si>
    <t>Covington &amp; Burling LLP</t>
  </si>
  <si>
    <t>https://www.cov.com/en/offices/washington</t>
  </si>
  <si>
    <t>Gibson</t>
  </si>
  <si>
    <t>Coperate partner</t>
  </si>
  <si>
    <t>ambushbass@aol.com</t>
  </si>
  <si>
    <t>Carlton Fields, P.A.</t>
  </si>
  <si>
    <t>https://www.carltonfields.com/</t>
  </si>
  <si>
    <t>Florida, US</t>
  </si>
  <si>
    <t>Gary</t>
  </si>
  <si>
    <t>Sasso</t>
  </si>
  <si>
    <t>President/CEO</t>
  </si>
  <si>
    <t>glsasso@aol.com</t>
  </si>
  <si>
    <t>Sidley Austin LLP</t>
  </si>
  <si>
    <t>https://www.sidley.com/en/us/</t>
  </si>
  <si>
    <t>Schneider</t>
  </si>
  <si>
    <t>mschneid@sidley.com</t>
  </si>
  <si>
    <t>Keller Postman LLC</t>
  </si>
  <si>
    <t>https://www.kellerpostman.com/</t>
  </si>
  <si>
    <t>Warren</t>
  </si>
  <si>
    <t>Postman</t>
  </si>
  <si>
    <t>wdp@kellerpostman.com</t>
  </si>
  <si>
    <t>Cohen Milstein Sellers &amp; Toll PLLC</t>
  </si>
  <si>
    <t>https://www.cohenmilstein.com/</t>
  </si>
  <si>
    <t>Wasington,DC</t>
  </si>
  <si>
    <t>Benjamin</t>
  </si>
  <si>
    <t>Brown</t>
  </si>
  <si>
    <t>information@cohenmilstein.com</t>
  </si>
  <si>
    <t>Friedman Law Offices, P.L.L.C.</t>
  </si>
  <si>
    <t>https://www.friedmanlaw.com/</t>
  </si>
  <si>
    <t>California, US</t>
  </si>
  <si>
    <t>Heywood</t>
  </si>
  <si>
    <t>G. Friedman</t>
  </si>
  <si>
    <t>heywood@friedmanlawoffices.com</t>
  </si>
  <si>
    <t>DLA Piper LLP (US)</t>
  </si>
  <si>
    <t>https://www.dlapiper.com/en/</t>
  </si>
  <si>
    <t>Georgia, US</t>
  </si>
  <si>
    <t>Gerry</t>
  </si>
  <si>
    <t>Williams</t>
  </si>
  <si>
    <t>CO Managing Partner</t>
  </si>
  <si>
    <t>glw1906@icloud.com</t>
  </si>
  <si>
    <t>Hausfeld</t>
  </si>
  <si>
    <t>https://www.hausfeld.com/</t>
  </si>
  <si>
    <t>Wasington, DC</t>
  </si>
  <si>
    <t>Melinda</t>
  </si>
  <si>
    <t>Coolidge</t>
  </si>
  <si>
    <t>US Managing Partner</t>
  </si>
  <si>
    <t>Dueffert Gilbertsen PLLC</t>
  </si>
  <si>
    <t>http://www.dueffertlaw.com/</t>
  </si>
  <si>
    <t>Tom</t>
  </si>
  <si>
    <t>Gilbertsen</t>
  </si>
  <si>
    <t>tom@gilbertsenlaw.com</t>
  </si>
  <si>
    <t>The Dominguez Firm - Personal Injury Lawyers</t>
  </si>
  <si>
    <t>https://dominguezfirm.com/locations/los-angeles/</t>
  </si>
  <si>
    <t>Los Angeles</t>
  </si>
  <si>
    <t>Juan</t>
  </si>
  <si>
    <t>J.Dominguez</t>
  </si>
  <si>
    <t>CEO/Founder</t>
  </si>
  <si>
    <t>jdominguez@dominguezfirm.com</t>
  </si>
  <si>
    <t>Ultimate Law Firm, APC</t>
  </si>
  <si>
    <t>http://www.theultimatelawfirm.com/</t>
  </si>
  <si>
    <t>Craig</t>
  </si>
  <si>
    <t>Johnson</t>
  </si>
  <si>
    <t>cjohnson@johnsonlawapc.com</t>
  </si>
  <si>
    <t>Custodio &amp; Dubey - CD Law</t>
  </si>
  <si>
    <t>https://www.cd-lawyers.com/</t>
  </si>
  <si>
    <t>Vineet</t>
  </si>
  <si>
    <t>Dubey</t>
  </si>
  <si>
    <t>dubey@cd-lawyers.com</t>
  </si>
  <si>
    <t>West Coast Trial Lawyers</t>
  </si>
  <si>
    <t>https://westcoasttriallawyers.com/</t>
  </si>
  <si>
    <t>Neama</t>
  </si>
  <si>
    <t>Rahmani</t>
  </si>
  <si>
    <t>nr@westcoasttriallawyers.com</t>
  </si>
  <si>
    <t>Heidari Law Group</t>
  </si>
  <si>
    <t>https://www.heidarilawgroup.com</t>
  </si>
  <si>
    <t>Nevada, US</t>
  </si>
  <si>
    <t>Sam</t>
  </si>
  <si>
    <t>Ryan Heidari</t>
  </si>
  <si>
    <t>heidarisaman@yahoo.com</t>
  </si>
  <si>
    <t>California Attorney Group</t>
  </si>
  <si>
    <t>https://www.californiaattorneygroup.com/</t>
  </si>
  <si>
    <t>Michael</t>
  </si>
  <si>
    <t>jaystyranka@mac.com</t>
  </si>
  <si>
    <t>Belal Hamideh Law</t>
  </si>
  <si>
    <t>https://belalhamidehlaw.com/</t>
  </si>
  <si>
    <t>Lomita, US</t>
  </si>
  <si>
    <t>Belal</t>
  </si>
  <si>
    <t>Hamideh</t>
  </si>
  <si>
    <t>belalhamideh@gmail.com</t>
  </si>
  <si>
    <t>KJT Law Group</t>
  </si>
  <si>
    <t>https://www.kjtlawgroup.com/glendale/</t>
  </si>
  <si>
    <t>Vache</t>
  </si>
  <si>
    <t>Thomassian</t>
  </si>
  <si>
    <t>info@progress-analytics.com</t>
  </si>
  <si>
    <t>Frost Law Firm, PC</t>
  </si>
  <si>
    <t>https://www.frostlawfirm.com/</t>
  </si>
  <si>
    <t>Atlanta</t>
  </si>
  <si>
    <t>Justin</t>
  </si>
  <si>
    <t>Elanjian</t>
  </si>
  <si>
    <t>Managing Director</t>
  </si>
  <si>
    <t>justin.elanjian@frosttaxlaw.com</t>
  </si>
  <si>
    <t>Scarlett Law Group</t>
  </si>
  <si>
    <t>https://www.scarlettlawgroup.com/</t>
  </si>
  <si>
    <t>San Francisco, US</t>
  </si>
  <si>
    <t>Randall</t>
  </si>
  <si>
    <t>Scarlett</t>
  </si>
  <si>
    <t>rscarlett@scarlettlawgroup.com</t>
  </si>
  <si>
    <t>Bisnar Chase Personal Injury Attorneys, LLP</t>
  </si>
  <si>
    <t>https://www.bestattorney.com/los-angeles/</t>
  </si>
  <si>
    <t>Brian</t>
  </si>
  <si>
    <t>Chase</t>
  </si>
  <si>
    <t>brianchaselaw@gmail.com</t>
  </si>
  <si>
    <t>The Ruttenberg Law Firm, PC</t>
  </si>
  <si>
    <t>https://www.laharassmentfirm.com/</t>
  </si>
  <si>
    <t>Ruttenberg</t>
  </si>
  <si>
    <t>Founder/Attorney</t>
  </si>
  <si>
    <t>kruttenberg@trgllp.com</t>
  </si>
  <si>
    <t>The Cifarelli Law Firm</t>
  </si>
  <si>
    <t>https://www.cifarelliinjurylaw.com/</t>
  </si>
  <si>
    <t>Thomas</t>
  </si>
  <si>
    <t>Cifarelli</t>
  </si>
  <si>
    <t>tomc@cifarellilaw.com</t>
  </si>
  <si>
    <t>Bojat Law Group</t>
  </si>
  <si>
    <t>https://www.bojatlaw.com/</t>
  </si>
  <si>
    <t>Sasha</t>
  </si>
  <si>
    <t>Bojat Esq.</t>
  </si>
  <si>
    <t>Founder</t>
  </si>
  <si>
    <t>sashabojat@gmail.com</t>
  </si>
  <si>
    <t>The Capital Law Firm</t>
  </si>
  <si>
    <t>https://capfirm.com/</t>
  </si>
  <si>
    <t>Joshua</t>
  </si>
  <si>
    <t>Zokaeem</t>
  </si>
  <si>
    <t>josh@capfirm.com</t>
  </si>
  <si>
    <t>MKP Law Group, LLP</t>
  </si>
  <si>
    <t>https://www.mkplawgroup.com/</t>
  </si>
  <si>
    <t>Jordan</t>
  </si>
  <si>
    <t>Peagler</t>
  </si>
  <si>
    <t>jpeagler@mkplawgroup.com</t>
  </si>
  <si>
    <t>Banafshe Law Firm</t>
  </si>
  <si>
    <t>http://www.banalaw.com/</t>
  </si>
  <si>
    <t>Payum</t>
  </si>
  <si>
    <t>Banafshe</t>
  </si>
  <si>
    <t>pb@banalaw.com</t>
  </si>
  <si>
    <t>McNicholas &amp; McNicholas, LLP</t>
  </si>
  <si>
    <t>https://www.mcnicholaslaw.com/</t>
  </si>
  <si>
    <t>Matthew</t>
  </si>
  <si>
    <t>McNicholas</t>
  </si>
  <si>
    <t>cnabholz@gmail.com</t>
  </si>
  <si>
    <t>ME Lawyers</t>
  </si>
  <si>
    <t>https://www.melawyers.com/</t>
  </si>
  <si>
    <t>J.Emrani</t>
  </si>
  <si>
    <t>mike@emranilawyers.com</t>
  </si>
  <si>
    <t>LA Century Law</t>
  </si>
  <si>
    <t>https://lacenturylaw.com/</t>
  </si>
  <si>
    <t>Ryan</t>
  </si>
  <si>
    <t>Daneshard Esq.</t>
  </si>
  <si>
    <t>ryan@lacenturylaw.com</t>
  </si>
  <si>
    <t>Wilshire Law Firm</t>
  </si>
  <si>
    <t>https://wilshirelawfirm.com/locations/los-angeles-california/</t>
  </si>
  <si>
    <t>Bobby</t>
  </si>
  <si>
    <t>Saadian</t>
  </si>
  <si>
    <t>bobby@wilshirelawfirm.com</t>
  </si>
  <si>
    <t>El Dabe Ritter Trial Lawyers</t>
  </si>
  <si>
    <t>https://www.erlawyers.com/</t>
  </si>
  <si>
    <t>S Edmond</t>
  </si>
  <si>
    <t>EI Dabe</t>
  </si>
  <si>
    <t>Personal Attorney</t>
  </si>
  <si>
    <t>eldabe@erlawyers.com</t>
  </si>
  <si>
    <t>Morgan &amp; Morgan</t>
  </si>
  <si>
    <t>https://www.forthepeople.com/office-locations</t>
  </si>
  <si>
    <t>John</t>
  </si>
  <si>
    <t>Morgan</t>
  </si>
  <si>
    <t>Founder/Owner</t>
  </si>
  <si>
    <t>johnmorgan@forthepeople.com</t>
  </si>
  <si>
    <t>Slatter Law Firm, APC</t>
  </si>
  <si>
    <t>https://slatterlawfirm.com/</t>
  </si>
  <si>
    <t>Slater</t>
  </si>
  <si>
    <t>mslater@theslaterlawfirmapc.com</t>
  </si>
  <si>
    <t>The L.A. Law Firm Accident Attorneys</t>
  </si>
  <si>
    <t>http://www.thelalawfirm.com/</t>
  </si>
  <si>
    <t>Alex</t>
  </si>
  <si>
    <t>Sarajian</t>
  </si>
  <si>
    <t>alex@lainjuryattorneys.com</t>
  </si>
  <si>
    <t>Jacoby &amp; Meyers</t>
  </si>
  <si>
    <t>https://www.jacobyandmeyers.com</t>
  </si>
  <si>
    <t>Jacoby</t>
  </si>
  <si>
    <t>Len</t>
  </si>
  <si>
    <t>President</t>
  </si>
  <si>
    <t>len@jacobymeyers.com</t>
  </si>
  <si>
    <t>Kluewer Law</t>
  </si>
  <si>
    <t>https://www.googleadservices.com</t>
  </si>
  <si>
    <t>Josh</t>
  </si>
  <si>
    <t>Kluewer</t>
  </si>
  <si>
    <t>CEO/President</t>
  </si>
  <si>
    <t>jkluewer@kluewerlaw.com</t>
  </si>
  <si>
    <t>C&amp;B Law Group, LLP</t>
  </si>
  <si>
    <t>https://www.cblawgroup.com/</t>
  </si>
  <si>
    <t>Jack</t>
  </si>
  <si>
    <t>Bazerkanian</t>
  </si>
  <si>
    <t>jack@cblawgroup.com</t>
  </si>
  <si>
    <t>Yang Law Offices</t>
  </si>
  <si>
    <t>http://www.yanglawoffices.com/</t>
  </si>
  <si>
    <t>Elizabeth</t>
  </si>
  <si>
    <t>Yang</t>
  </si>
  <si>
    <t>elizabeth@yanglawoffices.com</t>
  </si>
  <si>
    <t>MSD Lawyers</t>
  </si>
  <si>
    <t>https://msdlawyers.com/</t>
  </si>
  <si>
    <t>Camron</t>
  </si>
  <si>
    <t>Dowlatshahi</t>
  </si>
  <si>
    <t>camrondowlatshahi@yahoo.com</t>
  </si>
  <si>
    <t>Glotzer &amp; Leib Personal Injury Lawyers - Los Angeles</t>
  </si>
  <si>
    <t>https://www.socalpersonalinjurylawyer.com/</t>
  </si>
  <si>
    <t>Glotzer</t>
  </si>
  <si>
    <t>glotzlaw@yahoo.com</t>
  </si>
  <si>
    <t>Downtown La Law Group</t>
  </si>
  <si>
    <t>https://downtownlalaw.com/</t>
  </si>
  <si>
    <t>Azizi</t>
  </si>
  <si>
    <t>daniel@downtownlalaw.com</t>
  </si>
  <si>
    <t>The Law Offices of Robert B. Sarvian APC</t>
  </si>
  <si>
    <t>http://sarvianlaw.com/</t>
  </si>
  <si>
    <t>Roberto</t>
  </si>
  <si>
    <t>Sarvian</t>
  </si>
  <si>
    <t>sarvian@att.net</t>
  </si>
  <si>
    <t>Moaddel Law Firm</t>
  </si>
  <si>
    <t>http://www.mdlfirm.com/</t>
  </si>
  <si>
    <t>Moaddel</t>
  </si>
  <si>
    <t>Criminal Attorney</t>
  </si>
  <si>
    <t>dmoaddel@gmail.com</t>
  </si>
  <si>
    <t>Compass Law Group, LLP Injury and Accident Attorneys</t>
  </si>
  <si>
    <t>https://cmplawgroup.com/contact</t>
  </si>
  <si>
    <t>Arcadia</t>
  </si>
  <si>
    <t>Mathew</t>
  </si>
  <si>
    <t>F</t>
  </si>
  <si>
    <t>falermatthew@gmail.com</t>
  </si>
  <si>
    <t>Normandie Law Firm</t>
  </si>
  <si>
    <t>http://www.losangelespersonalinjurylawyers.co/</t>
  </si>
  <si>
    <t>Miami,US</t>
  </si>
  <si>
    <t>Gerard</t>
  </si>
  <si>
    <t>NORMANDIE</t>
  </si>
  <si>
    <t>Manager</t>
  </si>
  <si>
    <t>a@orbitquick.com</t>
  </si>
  <si>
    <t>Law Offices of Robert Lee</t>
  </si>
  <si>
    <t>https://robertleelaw.com/</t>
  </si>
  <si>
    <t>Hong Kong SRA</t>
  </si>
  <si>
    <t>Robert</t>
  </si>
  <si>
    <t>Lee</t>
  </si>
  <si>
    <t>robert@interasialawoffices.com</t>
  </si>
  <si>
    <t>Farahi Law Firm, APC</t>
  </si>
  <si>
    <t>https://justinforjustice.com</t>
  </si>
  <si>
    <t>Torrence, US</t>
  </si>
  <si>
    <t>justin</t>
  </si>
  <si>
    <t>Farahi</t>
  </si>
  <si>
    <t>Principal Attorney</t>
  </si>
  <si>
    <t>justinfarahi1@gmail.com</t>
  </si>
  <si>
    <t>Law Offices of Howard Kornberg</t>
  </si>
  <si>
    <t>https://kornberglawfirm.com/</t>
  </si>
  <si>
    <t>Howard</t>
  </si>
  <si>
    <t>Kornberg</t>
  </si>
  <si>
    <t>hck@kornberglaw.com</t>
  </si>
  <si>
    <t>McMurray Henriks, LLP</t>
  </si>
  <si>
    <t>https://www.mcmurrayhenriks.com/</t>
  </si>
  <si>
    <t>Yana</t>
  </si>
  <si>
    <t>henriks</t>
  </si>
  <si>
    <t>yhenriks@law-mh.com</t>
  </si>
  <si>
    <t>The Matian Firm</t>
  </si>
  <si>
    <t>https://thematianfirm.com/</t>
  </si>
  <si>
    <t>Shawn</t>
  </si>
  <si>
    <t>Matian</t>
  </si>
  <si>
    <t>shawn@unitedfirm.com</t>
  </si>
  <si>
    <t>The Barnes Firm Injury Attorneys</t>
  </si>
  <si>
    <t>https://www.thebarnesfirm.com</t>
  </si>
  <si>
    <t>Buffalo,US</t>
  </si>
  <si>
    <t>Richard</t>
  </si>
  <si>
    <t>Barnes</t>
  </si>
  <si>
    <t>rich.barnes@cellinoandbarnes.com</t>
  </si>
  <si>
    <t>TorkLaw</t>
  </si>
  <si>
    <t>https://www.torklaw.com/</t>
  </si>
  <si>
    <t>Reza</t>
  </si>
  <si>
    <t>Torkzadeh</t>
  </si>
  <si>
    <t>Injury Attorney</t>
  </si>
  <si>
    <t>reza@torklaw.com</t>
  </si>
  <si>
    <t>Stewart J Guss, Injury Accident Lawyers - Los Angeles</t>
  </si>
  <si>
    <t>https://attorneyguss.com/ca/los-angeles/</t>
  </si>
  <si>
    <t>Huoston, Texas</t>
  </si>
  <si>
    <t>Stewart</t>
  </si>
  <si>
    <t>Guss</t>
  </si>
  <si>
    <t>stewart@attorneyguss.com</t>
  </si>
  <si>
    <t>The Sands Law Group, APLC</t>
  </si>
  <si>
    <t>https://www.thesandslawgroup.com/</t>
  </si>
  <si>
    <t>Hawaii,US</t>
  </si>
  <si>
    <t>Sands</t>
  </si>
  <si>
    <t>thomas@thesandslawgroup.com</t>
  </si>
  <si>
    <t>Downtown L.A. Law Group</t>
  </si>
  <si>
    <t>http://downtownlalaw.com/</t>
  </si>
  <si>
    <t>Samer Habbas &amp; Associates - Personal Injury Attorneys</t>
  </si>
  <si>
    <t>https://www.habbaspilaw.com/</t>
  </si>
  <si>
    <t>NewPort Beach, US</t>
  </si>
  <si>
    <t>Samer</t>
  </si>
  <si>
    <t>Habbas</t>
  </si>
  <si>
    <t>ssh@habbaspilaw.com</t>
  </si>
  <si>
    <t>Neale &amp; Fhima</t>
  </si>
  <si>
    <t>https://nealefhima.com</t>
  </si>
  <si>
    <t>Orange County, US</t>
  </si>
  <si>
    <t>Aaron</t>
  </si>
  <si>
    <t>Fhima</t>
  </si>
  <si>
    <t>Principal Owner</t>
  </si>
  <si>
    <t>aaron@nealefhima.com</t>
  </si>
  <si>
    <t>Nosratilaw, A Professional Law Corporation</t>
  </si>
  <si>
    <t>https://www.nosratilaw.com/</t>
  </si>
  <si>
    <t>Omid</t>
  </si>
  <si>
    <t>Nosrati</t>
  </si>
  <si>
    <t>omid@nosratilaw.com</t>
  </si>
  <si>
    <t>Panish | Shea | Ravipudi LLP</t>
  </si>
  <si>
    <t>https://www.panish.law/</t>
  </si>
  <si>
    <t>Panish</t>
  </si>
  <si>
    <t>panish@panish.law</t>
  </si>
  <si>
    <t>Rose, Klein &amp; Marias</t>
  </si>
  <si>
    <t>https://www.rkmlaw.net/</t>
  </si>
  <si>
    <t>Barone</t>
  </si>
  <si>
    <t>r.barone@rkmlaw.net</t>
  </si>
  <si>
    <t>Ethen Ostroff Law</t>
  </si>
  <si>
    <t>https://ethenostrofflaw.com/</t>
  </si>
  <si>
    <t>Ethen</t>
  </si>
  <si>
    <t>Ostroff</t>
  </si>
  <si>
    <t>eo@ethenostrofflaw.com</t>
  </si>
  <si>
    <t>Rand Spear: The Lawyer</t>
  </si>
  <si>
    <t>https://www.randspear.com/</t>
  </si>
  <si>
    <t>Rand</t>
  </si>
  <si>
    <t>Spear</t>
  </si>
  <si>
    <t>Accident Attorney</t>
  </si>
  <si>
    <t>rs@injuryline.com</t>
  </si>
  <si>
    <t>Marrone Law Firm, LLC</t>
  </si>
  <si>
    <t>https://marronelaw.com/</t>
  </si>
  <si>
    <t>Joseph</t>
  </si>
  <si>
    <t>Marrone</t>
  </si>
  <si>
    <t>jmarrone@marronelaw.com</t>
  </si>
  <si>
    <t>Mattiacci Law, LLC - Philadelphia Personal Injury Lawyers</t>
  </si>
  <si>
    <t>https://jminjurylawyer.com/</t>
  </si>
  <si>
    <t>Greater Philadelphia</t>
  </si>
  <si>
    <t>Mattiacci</t>
  </si>
  <si>
    <t>john@mattiaccilaw.com</t>
  </si>
  <si>
    <t>Kwartler Manus, LLC</t>
  </si>
  <si>
    <t>https://www.kminjurylawyers.com/</t>
  </si>
  <si>
    <t>David</t>
  </si>
  <si>
    <t>Kwartler</t>
  </si>
  <si>
    <t>davidkwartler@gmail.com</t>
  </si>
  <si>
    <t>Wieand Law Firm LLC</t>
  </si>
  <si>
    <t>https://www.wieandlaw.com/</t>
  </si>
  <si>
    <t>Brent</t>
  </si>
  <si>
    <t>Wieand</t>
  </si>
  <si>
    <t>Owner/Attorney</t>
  </si>
  <si>
    <t>brentallenwieand@yahoo.com</t>
  </si>
  <si>
    <t>Trapani Law Firm</t>
  </si>
  <si>
    <t>https://ltlaw.com/</t>
  </si>
  <si>
    <t>Trapani</t>
  </si>
  <si>
    <t>Attorney/Founder</t>
  </si>
  <si>
    <t>traplaxllc@gmail.com</t>
  </si>
  <si>
    <t>The Orloski Law Firm</t>
  </si>
  <si>
    <t>https://www.orloskilaw.com/</t>
  </si>
  <si>
    <t>Orloski</t>
  </si>
  <si>
    <t>orloskilaw@gmail.com</t>
  </si>
  <si>
    <t>Wapner Newman Personal Injury and Medical Malpractice Lawyers</t>
  </si>
  <si>
    <t>https://www.wapnernewman.com/</t>
  </si>
  <si>
    <t>Jarad</t>
  </si>
  <si>
    <t>Silverstein</t>
  </si>
  <si>
    <t>Partner/Chair</t>
  </si>
  <si>
    <t>jsilverstein@wapnernewman.com</t>
  </si>
  <si>
    <t>TopDog Law Personal Injury Lawyers - Philadelphia Office</t>
  </si>
  <si>
    <t>https://topdoglaw.com/</t>
  </si>
  <si>
    <t>Arizona, US</t>
  </si>
  <si>
    <t>James</t>
  </si>
  <si>
    <t>Helm</t>
  </si>
  <si>
    <t>james.helm@topdoglaw.com</t>
  </si>
  <si>
    <t>Reiff Law Firm - Philadelphia Personal Injury &amp; Car Accident Attorneys</t>
  </si>
  <si>
    <t>https://www.reifflawfirm.com/</t>
  </si>
  <si>
    <t>Jeffery</t>
  </si>
  <si>
    <t>M.Reiff</t>
  </si>
  <si>
    <t>jmreiff@reifflawfirm.com</t>
  </si>
  <si>
    <t>The Rothenberg Law Firm LLP</t>
  </si>
  <si>
    <t>https://injurylawyer.com/locations/</t>
  </si>
  <si>
    <t>allen</t>
  </si>
  <si>
    <t>Rothenberg</t>
  </si>
  <si>
    <t>allen@injurylawyer.com</t>
  </si>
  <si>
    <t>The Weitz Firm, LLC</t>
  </si>
  <si>
    <t>https://www.theweitzfirm.com/</t>
  </si>
  <si>
    <t>Weitz</t>
  </si>
  <si>
    <t>eweitz@pajustice.org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</si>
</sst>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1155CC"/>
      <name val="Arial"/>
    </font>
    <font>
      <color theme="1"/>
      <name val="Arial"/>
      <scheme val="minor"/>
    </font>
    <font>
      <u/>
      <color rgb="FF1155CC"/>
      <name val="Arial"/>
    </font>
    <font>
      <sz val="9.0"/>
      <color rgb="FF000000"/>
      <name val="Inter"/>
    </font>
    <font>
      <u/>
      <color rgb="FF1155CC"/>
      <name val="Arial"/>
    </font>
    <font>
      <sz val="10.0"/>
      <color rgb="FF3F3C39"/>
      <name val="Arial"/>
    </font>
    <font>
      <sz val="10.0"/>
      <color rgb="FF000000"/>
      <name val="Inte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7F7"/>
        <bgColor rgb="FFF8F7F7"/>
      </patternFill>
    </fill>
    <fill>
      <patternFill patternType="solid">
        <fgColor rgb="FFFAFCFF"/>
        <bgColor rgb="FFFAFC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3" numFmtId="0" xfId="0" applyFont="1"/>
    <xf borderId="0" fillId="2" fontId="5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3" fontId="7" numFmtId="0" xfId="0" applyAlignment="1" applyFill="1" applyFont="1">
      <alignment readingOrder="0" shrinkToFit="0" wrapText="0"/>
    </xf>
    <xf borderId="0" fillId="4" fontId="8" numFmtId="0" xfId="0" applyAlignment="1" applyFill="1" applyFont="1">
      <alignment readingOrder="0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eidarilawgroup.com" TargetMode="External"/><Relationship Id="rId42" Type="http://schemas.openxmlformats.org/officeDocument/2006/relationships/hyperlink" Target="https://belalhamidehlaw.com/" TargetMode="External"/><Relationship Id="rId41" Type="http://schemas.openxmlformats.org/officeDocument/2006/relationships/hyperlink" Target="https://www.californiaattorneygroup.com/" TargetMode="External"/><Relationship Id="rId44" Type="http://schemas.openxmlformats.org/officeDocument/2006/relationships/hyperlink" Target="https://www.frostlawfirm.com/" TargetMode="External"/><Relationship Id="rId43" Type="http://schemas.openxmlformats.org/officeDocument/2006/relationships/hyperlink" Target="https://www.kjtlawgroup.com/glendale/" TargetMode="External"/><Relationship Id="rId46" Type="http://schemas.openxmlformats.org/officeDocument/2006/relationships/hyperlink" Target="https://www.bestattorney.com/los-angeles/" TargetMode="External"/><Relationship Id="rId45" Type="http://schemas.openxmlformats.org/officeDocument/2006/relationships/hyperlink" Target="https://www.scarlettlawgroup.com/" TargetMode="External"/><Relationship Id="rId48" Type="http://schemas.openxmlformats.org/officeDocument/2006/relationships/hyperlink" Target="https://www.cifarelliinjurylaw.com/" TargetMode="External"/><Relationship Id="rId47" Type="http://schemas.openxmlformats.org/officeDocument/2006/relationships/hyperlink" Target="https://www.laharassmentfirm.com/" TargetMode="External"/><Relationship Id="rId49" Type="http://schemas.openxmlformats.org/officeDocument/2006/relationships/hyperlink" Target="https://www.bojatlaw.com/" TargetMode="External"/><Relationship Id="rId100" Type="http://schemas.openxmlformats.org/officeDocument/2006/relationships/drawing" Target="../drawings/drawing1.xml"/><Relationship Id="rId31" Type="http://schemas.openxmlformats.org/officeDocument/2006/relationships/hyperlink" Target="https://www.cohenmilstein.com/" TargetMode="External"/><Relationship Id="rId30" Type="http://schemas.openxmlformats.org/officeDocument/2006/relationships/hyperlink" Target="https://www.kellerpostman.com/" TargetMode="External"/><Relationship Id="rId33" Type="http://schemas.openxmlformats.org/officeDocument/2006/relationships/hyperlink" Target="https://www.dlapiper.com/en/" TargetMode="External"/><Relationship Id="rId32" Type="http://schemas.openxmlformats.org/officeDocument/2006/relationships/hyperlink" Target="https://www.friedmanlaw.com/" TargetMode="External"/><Relationship Id="rId35" Type="http://schemas.openxmlformats.org/officeDocument/2006/relationships/hyperlink" Target="http://www.dueffertlaw.com/" TargetMode="External"/><Relationship Id="rId34" Type="http://schemas.openxmlformats.org/officeDocument/2006/relationships/hyperlink" Target="https://www.hausfeld.com/" TargetMode="External"/><Relationship Id="rId37" Type="http://schemas.openxmlformats.org/officeDocument/2006/relationships/hyperlink" Target="http://www.theultimatelawfirm.com/" TargetMode="External"/><Relationship Id="rId36" Type="http://schemas.openxmlformats.org/officeDocument/2006/relationships/hyperlink" Target="https://dominguezfirm.com/locations/los-angeles/" TargetMode="External"/><Relationship Id="rId39" Type="http://schemas.openxmlformats.org/officeDocument/2006/relationships/hyperlink" Target="https://westcoasttriallawyers.com/" TargetMode="External"/><Relationship Id="rId38" Type="http://schemas.openxmlformats.org/officeDocument/2006/relationships/hyperlink" Target="https://www.cd-lawyers.com/" TargetMode="External"/><Relationship Id="rId20" Type="http://schemas.openxmlformats.org/officeDocument/2006/relationships/hyperlink" Target="https://burnscharest.com/" TargetMode="External"/><Relationship Id="rId22" Type="http://schemas.openxmlformats.org/officeDocument/2006/relationships/hyperlink" Target="https://www.outtengolden.com/" TargetMode="External"/><Relationship Id="rId21" Type="http://schemas.openxmlformats.org/officeDocument/2006/relationships/hyperlink" Target="https://www.duddyczarnecki.com/" TargetMode="External"/><Relationship Id="rId24" Type="http://schemas.openxmlformats.org/officeDocument/2006/relationships/hyperlink" Target="https://www.crowell.com/en/locations" TargetMode="External"/><Relationship Id="rId23" Type="http://schemas.openxmlformats.org/officeDocument/2006/relationships/hyperlink" Target="https://zlk.com/" TargetMode="External"/><Relationship Id="rId26" Type="http://schemas.openxmlformats.org/officeDocument/2006/relationships/hyperlink" Target="https://feinberglawoffices.com/" TargetMode="External"/><Relationship Id="rId25" Type="http://schemas.openxmlformats.org/officeDocument/2006/relationships/hyperlink" Target="https://www.faylawpa.com/" TargetMode="External"/><Relationship Id="rId28" Type="http://schemas.openxmlformats.org/officeDocument/2006/relationships/hyperlink" Target="https://www.carltonfields.com/" TargetMode="External"/><Relationship Id="rId27" Type="http://schemas.openxmlformats.org/officeDocument/2006/relationships/hyperlink" Target="https://www.cov.com/en/offices/washington" TargetMode="External"/><Relationship Id="rId29" Type="http://schemas.openxmlformats.org/officeDocument/2006/relationships/hyperlink" Target="https://www.sidley.com/en/us/" TargetMode="External"/><Relationship Id="rId95" Type="http://schemas.openxmlformats.org/officeDocument/2006/relationships/hyperlink" Target="https://www.wapnernewman.com/" TargetMode="External"/><Relationship Id="rId94" Type="http://schemas.openxmlformats.org/officeDocument/2006/relationships/hyperlink" Target="https://www.orloskilaw.com/" TargetMode="External"/><Relationship Id="rId97" Type="http://schemas.openxmlformats.org/officeDocument/2006/relationships/hyperlink" Target="https://www.reifflawfirm.com/" TargetMode="External"/><Relationship Id="rId96" Type="http://schemas.openxmlformats.org/officeDocument/2006/relationships/hyperlink" Target="https://topdoglaw.com/" TargetMode="External"/><Relationship Id="rId11" Type="http://schemas.openxmlformats.org/officeDocument/2006/relationships/hyperlink" Target="https://www.bienstockpllc.com/" TargetMode="External"/><Relationship Id="rId99" Type="http://schemas.openxmlformats.org/officeDocument/2006/relationships/hyperlink" Target="https://www.theweitzfirm.com/" TargetMode="External"/><Relationship Id="rId10" Type="http://schemas.openxmlformats.org/officeDocument/2006/relationships/hyperlink" Target="https://www.blg-dc.com/" TargetMode="External"/><Relationship Id="rId98" Type="http://schemas.openxmlformats.org/officeDocument/2006/relationships/hyperlink" Target="https://injurylawyer.com/locations/" TargetMode="External"/><Relationship Id="rId13" Type="http://schemas.openxmlformats.org/officeDocument/2006/relationships/hyperlink" Target="https://www.foxrothschild.com/" TargetMode="External"/><Relationship Id="rId12" Type="http://schemas.openxmlformats.org/officeDocument/2006/relationships/hyperlink" Target="https://www.jonesday.com/en/locations" TargetMode="External"/><Relationship Id="rId91" Type="http://schemas.openxmlformats.org/officeDocument/2006/relationships/hyperlink" Target="https://www.kminjurylawyers.com/" TargetMode="External"/><Relationship Id="rId90" Type="http://schemas.openxmlformats.org/officeDocument/2006/relationships/hyperlink" Target="https://jminjurylawyer.com/" TargetMode="External"/><Relationship Id="rId93" Type="http://schemas.openxmlformats.org/officeDocument/2006/relationships/hyperlink" Target="https://ltlaw.com/" TargetMode="External"/><Relationship Id="rId92" Type="http://schemas.openxmlformats.org/officeDocument/2006/relationships/hyperlink" Target="https://www.wieandlaw.com/" TargetMode="External"/><Relationship Id="rId15" Type="http://schemas.openxmlformats.org/officeDocument/2006/relationships/hyperlink" Target="https://www.zellelaw.com/" TargetMode="External"/><Relationship Id="rId14" Type="http://schemas.openxmlformats.org/officeDocument/2006/relationships/hyperlink" Target="https://www.wc.com/" TargetMode="External"/><Relationship Id="rId17" Type="http://schemas.openxmlformats.org/officeDocument/2006/relationships/hyperlink" Target="https://www.mcguirewoods.com/" TargetMode="External"/><Relationship Id="rId16" Type="http://schemas.openxmlformats.org/officeDocument/2006/relationships/hyperlink" Target="https://www.dickinson-wright.com/" TargetMode="External"/><Relationship Id="rId19" Type="http://schemas.openxmlformats.org/officeDocument/2006/relationships/hyperlink" Target="https://www.wilsonelser.com/" TargetMode="External"/><Relationship Id="rId18" Type="http://schemas.openxmlformats.org/officeDocument/2006/relationships/hyperlink" Target="https://hollingsworthllp.com/" TargetMode="External"/><Relationship Id="rId84" Type="http://schemas.openxmlformats.org/officeDocument/2006/relationships/hyperlink" Target="https://www.nosratilaw.com/" TargetMode="External"/><Relationship Id="rId83" Type="http://schemas.openxmlformats.org/officeDocument/2006/relationships/hyperlink" Target="https://nealefhima.com" TargetMode="External"/><Relationship Id="rId86" Type="http://schemas.openxmlformats.org/officeDocument/2006/relationships/hyperlink" Target="https://www.rkmlaw.net/" TargetMode="External"/><Relationship Id="rId85" Type="http://schemas.openxmlformats.org/officeDocument/2006/relationships/hyperlink" Target="https://www.panish.law/" TargetMode="External"/><Relationship Id="rId88" Type="http://schemas.openxmlformats.org/officeDocument/2006/relationships/hyperlink" Target="https://www.randspear.com/" TargetMode="External"/><Relationship Id="rId87" Type="http://schemas.openxmlformats.org/officeDocument/2006/relationships/hyperlink" Target="https://ethenostrofflaw.com/" TargetMode="External"/><Relationship Id="rId89" Type="http://schemas.openxmlformats.org/officeDocument/2006/relationships/hyperlink" Target="https://marronelaw.com/" TargetMode="External"/><Relationship Id="rId80" Type="http://schemas.openxmlformats.org/officeDocument/2006/relationships/hyperlink" Target="https://www.thesandslawgroup.com/" TargetMode="External"/><Relationship Id="rId82" Type="http://schemas.openxmlformats.org/officeDocument/2006/relationships/hyperlink" Target="https://www.habbaspilaw.com/" TargetMode="External"/><Relationship Id="rId81" Type="http://schemas.openxmlformats.org/officeDocument/2006/relationships/hyperlink" Target="http://downtownlalaw.com/" TargetMode="External"/><Relationship Id="rId1" Type="http://schemas.openxmlformats.org/officeDocument/2006/relationships/hyperlink" Target="https://www.flsalaw.com/" TargetMode="External"/><Relationship Id="rId2" Type="http://schemas.openxmlformats.org/officeDocument/2006/relationships/hyperlink" Target="https://www.tzlegal.com/" TargetMode="External"/><Relationship Id="rId3" Type="http://schemas.openxmlformats.org/officeDocument/2006/relationships/hyperlink" Target="https://www.goodwinlaw.com/" TargetMode="External"/><Relationship Id="rId4" Type="http://schemas.openxmlformats.org/officeDocument/2006/relationships/hyperlink" Target="https://www.omm.com/locations/" TargetMode="External"/><Relationship Id="rId9" Type="http://schemas.openxmlformats.org/officeDocument/2006/relationships/hyperlink" Target="https://www.carrmaloney.com/" TargetMode="External"/><Relationship Id="rId5" Type="http://schemas.openxmlformats.org/officeDocument/2006/relationships/hyperlink" Target="https://www.seyfarth.com/" TargetMode="External"/><Relationship Id="rId6" Type="http://schemas.openxmlformats.org/officeDocument/2006/relationships/hyperlink" Target="https://www.eversheds-sutherland.com" TargetMode="External"/><Relationship Id="rId7" Type="http://schemas.openxmlformats.org/officeDocument/2006/relationships/hyperlink" Target="https://www.thebartonfirm.com/" TargetMode="External"/><Relationship Id="rId8" Type="http://schemas.openxmlformats.org/officeDocument/2006/relationships/hyperlink" Target="https://www.skadden.com/" TargetMode="External"/><Relationship Id="rId73" Type="http://schemas.openxmlformats.org/officeDocument/2006/relationships/hyperlink" Target="https://justinforjustice.com" TargetMode="External"/><Relationship Id="rId72" Type="http://schemas.openxmlformats.org/officeDocument/2006/relationships/hyperlink" Target="https://robertleelaw.com/" TargetMode="External"/><Relationship Id="rId75" Type="http://schemas.openxmlformats.org/officeDocument/2006/relationships/hyperlink" Target="https://www.mcmurrayhenriks.com/" TargetMode="External"/><Relationship Id="rId74" Type="http://schemas.openxmlformats.org/officeDocument/2006/relationships/hyperlink" Target="https://kornberglawfirm.com/" TargetMode="External"/><Relationship Id="rId77" Type="http://schemas.openxmlformats.org/officeDocument/2006/relationships/hyperlink" Target="https://www.thebarnesfirm.com" TargetMode="External"/><Relationship Id="rId76" Type="http://schemas.openxmlformats.org/officeDocument/2006/relationships/hyperlink" Target="https://thematianfirm.com/" TargetMode="External"/><Relationship Id="rId79" Type="http://schemas.openxmlformats.org/officeDocument/2006/relationships/hyperlink" Target="https://attorneyguss.com/ca/los-angeles/" TargetMode="External"/><Relationship Id="rId78" Type="http://schemas.openxmlformats.org/officeDocument/2006/relationships/hyperlink" Target="https://www.torklaw.com/" TargetMode="External"/><Relationship Id="rId71" Type="http://schemas.openxmlformats.org/officeDocument/2006/relationships/hyperlink" Target="http://www.losangelespersonalinjurylawyers.co/" TargetMode="External"/><Relationship Id="rId70" Type="http://schemas.openxmlformats.org/officeDocument/2006/relationships/hyperlink" Target="https://cmplawgroup.com/contact" TargetMode="External"/><Relationship Id="rId62" Type="http://schemas.openxmlformats.org/officeDocument/2006/relationships/hyperlink" Target="https://www.googleadservices.com" TargetMode="External"/><Relationship Id="rId61" Type="http://schemas.openxmlformats.org/officeDocument/2006/relationships/hyperlink" Target="https://www.jacobyandmeyers.com" TargetMode="External"/><Relationship Id="rId64" Type="http://schemas.openxmlformats.org/officeDocument/2006/relationships/hyperlink" Target="http://www.yanglawoffices.com/" TargetMode="External"/><Relationship Id="rId63" Type="http://schemas.openxmlformats.org/officeDocument/2006/relationships/hyperlink" Target="https://www.cblawgroup.com/" TargetMode="External"/><Relationship Id="rId66" Type="http://schemas.openxmlformats.org/officeDocument/2006/relationships/hyperlink" Target="https://www.socalpersonalinjurylawyer.com/" TargetMode="External"/><Relationship Id="rId65" Type="http://schemas.openxmlformats.org/officeDocument/2006/relationships/hyperlink" Target="https://msdlawyers.com/" TargetMode="External"/><Relationship Id="rId68" Type="http://schemas.openxmlformats.org/officeDocument/2006/relationships/hyperlink" Target="http://sarvianlaw.com/" TargetMode="External"/><Relationship Id="rId67" Type="http://schemas.openxmlformats.org/officeDocument/2006/relationships/hyperlink" Target="https://downtownlalaw.com/" TargetMode="External"/><Relationship Id="rId60" Type="http://schemas.openxmlformats.org/officeDocument/2006/relationships/hyperlink" Target="http://www.thelalawfirm.com/" TargetMode="External"/><Relationship Id="rId69" Type="http://schemas.openxmlformats.org/officeDocument/2006/relationships/hyperlink" Target="http://www.mdlfirm.com/" TargetMode="External"/><Relationship Id="rId51" Type="http://schemas.openxmlformats.org/officeDocument/2006/relationships/hyperlink" Target="https://www.mkplawgroup.com/" TargetMode="External"/><Relationship Id="rId50" Type="http://schemas.openxmlformats.org/officeDocument/2006/relationships/hyperlink" Target="https://capfirm.com/" TargetMode="External"/><Relationship Id="rId53" Type="http://schemas.openxmlformats.org/officeDocument/2006/relationships/hyperlink" Target="https://www.mcnicholaslaw.com/" TargetMode="External"/><Relationship Id="rId52" Type="http://schemas.openxmlformats.org/officeDocument/2006/relationships/hyperlink" Target="http://www.banalaw.com/" TargetMode="External"/><Relationship Id="rId55" Type="http://schemas.openxmlformats.org/officeDocument/2006/relationships/hyperlink" Target="https://lacenturylaw.com/" TargetMode="External"/><Relationship Id="rId54" Type="http://schemas.openxmlformats.org/officeDocument/2006/relationships/hyperlink" Target="https://www.melawyers.com/" TargetMode="External"/><Relationship Id="rId57" Type="http://schemas.openxmlformats.org/officeDocument/2006/relationships/hyperlink" Target="https://www.erlawyers.com/" TargetMode="External"/><Relationship Id="rId56" Type="http://schemas.openxmlformats.org/officeDocument/2006/relationships/hyperlink" Target="https://wilshirelawfirm.com/locations/los-angeles-california/" TargetMode="External"/><Relationship Id="rId59" Type="http://schemas.openxmlformats.org/officeDocument/2006/relationships/hyperlink" Target="https://slatterlawfirm.com/" TargetMode="External"/><Relationship Id="rId58" Type="http://schemas.openxmlformats.org/officeDocument/2006/relationships/hyperlink" Target="https://www.forthepeople.com/office-loc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13"/>
    <col customWidth="1" min="2" max="2" width="44.38"/>
    <col customWidth="1" min="3" max="3" width="19.13"/>
    <col customWidth="1" min="7" max="7" width="17.75"/>
    <col customWidth="1" min="8" max="8" width="27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>
      <c r="A2" s="3" t="s">
        <v>8</v>
      </c>
      <c r="B2" s="4" t="s">
        <v>9</v>
      </c>
      <c r="C2" s="3" t="s">
        <v>10</v>
      </c>
      <c r="D2" s="5">
        <f>+13124191008</f>
        <v>13124191008</v>
      </c>
      <c r="E2" s="3" t="s">
        <v>11</v>
      </c>
      <c r="F2" s="3" t="s">
        <v>12</v>
      </c>
      <c r="G2" s="3" t="s">
        <v>13</v>
      </c>
      <c r="H2" s="3" t="s">
        <v>14</v>
      </c>
    </row>
    <row r="3">
      <c r="A3" s="3" t="s">
        <v>15</v>
      </c>
      <c r="B3" s="4" t="s">
        <v>16</v>
      </c>
      <c r="C3" s="3" t="s">
        <v>17</v>
      </c>
      <c r="D3" s="5">
        <f>+13013206330</f>
        <v>13013206330</v>
      </c>
      <c r="E3" s="3" t="s">
        <v>18</v>
      </c>
      <c r="F3" s="3" t="s">
        <v>19</v>
      </c>
      <c r="G3" s="3" t="s">
        <v>20</v>
      </c>
      <c r="H3" s="3" t="s">
        <v>21</v>
      </c>
    </row>
    <row r="4">
      <c r="A4" s="3" t="s">
        <v>22</v>
      </c>
      <c r="B4" s="4" t="s">
        <v>23</v>
      </c>
      <c r="C4" s="6" t="s">
        <v>24</v>
      </c>
      <c r="D4" s="5">
        <f>+12149299013</f>
        <v>12149299013</v>
      </c>
      <c r="E4" s="3" t="s">
        <v>25</v>
      </c>
      <c r="F4" s="3" t="s">
        <v>26</v>
      </c>
      <c r="G4" s="3" t="s">
        <v>27</v>
      </c>
      <c r="H4" s="3" t="s">
        <v>28</v>
      </c>
    </row>
    <row r="5">
      <c r="A5" s="3" t="s">
        <v>29</v>
      </c>
      <c r="B5" s="4" t="s">
        <v>30</v>
      </c>
      <c r="C5" s="3" t="s">
        <v>31</v>
      </c>
      <c r="D5" s="5">
        <f>+19175972965</f>
        <v>19175972965</v>
      </c>
      <c r="E5" s="3" t="s">
        <v>32</v>
      </c>
      <c r="F5" s="3" t="s">
        <v>33</v>
      </c>
      <c r="G5" s="3" t="s">
        <v>34</v>
      </c>
      <c r="H5" s="3" t="s">
        <v>35</v>
      </c>
    </row>
    <row r="6">
      <c r="A6" s="3" t="s">
        <v>36</v>
      </c>
      <c r="B6" s="7" t="s">
        <v>37</v>
      </c>
      <c r="C6" s="3" t="s">
        <v>10</v>
      </c>
      <c r="D6" s="5">
        <f>+12132709696</f>
        <v>12132709696</v>
      </c>
      <c r="E6" s="3" t="s">
        <v>38</v>
      </c>
      <c r="F6" s="3" t="s">
        <v>39</v>
      </c>
      <c r="G6" s="3" t="s">
        <v>20</v>
      </c>
      <c r="H6" s="3" t="s">
        <v>40</v>
      </c>
    </row>
    <row r="7">
      <c r="A7" s="3" t="s">
        <v>41</v>
      </c>
      <c r="B7" s="4" t="s">
        <v>42</v>
      </c>
      <c r="C7" s="3" t="s">
        <v>43</v>
      </c>
      <c r="D7" s="5">
        <f>442920477211</f>
        <v>442920477211</v>
      </c>
      <c r="E7" s="3" t="s">
        <v>44</v>
      </c>
      <c r="F7" s="3" t="s">
        <v>45</v>
      </c>
      <c r="G7" s="3" t="s">
        <v>34</v>
      </c>
      <c r="H7" s="3" t="s">
        <v>46</v>
      </c>
    </row>
    <row r="8">
      <c r="A8" s="3" t="s">
        <v>47</v>
      </c>
      <c r="B8" s="4" t="s">
        <v>48</v>
      </c>
      <c r="C8" s="3" t="s">
        <v>17</v>
      </c>
      <c r="D8" s="5">
        <f>12027345458</f>
        <v>12027345458</v>
      </c>
      <c r="E8" s="3" t="s">
        <v>49</v>
      </c>
      <c r="F8" s="3" t="s">
        <v>50</v>
      </c>
      <c r="G8" s="3" t="s">
        <v>20</v>
      </c>
      <c r="H8" s="3" t="s">
        <v>51</v>
      </c>
    </row>
    <row r="9">
      <c r="A9" s="3" t="s">
        <v>52</v>
      </c>
      <c r="B9" s="4" t="s">
        <v>53</v>
      </c>
      <c r="C9" s="3" t="s">
        <v>54</v>
      </c>
      <c r="D9" s="3">
        <v>1.2127352204E10</v>
      </c>
      <c r="E9" s="3" t="s">
        <v>55</v>
      </c>
      <c r="F9" s="3" t="s">
        <v>56</v>
      </c>
      <c r="G9" s="3" t="s">
        <v>27</v>
      </c>
      <c r="H9" s="3" t="s">
        <v>57</v>
      </c>
    </row>
    <row r="10">
      <c r="A10" s="3" t="s">
        <v>58</v>
      </c>
      <c r="B10" s="4" t="s">
        <v>59</v>
      </c>
      <c r="C10" s="3" t="s">
        <v>17</v>
      </c>
      <c r="D10" s="3">
        <v>1.7742395598E10</v>
      </c>
      <c r="E10" s="3" t="s">
        <v>60</v>
      </c>
      <c r="F10" s="3" t="s">
        <v>61</v>
      </c>
      <c r="G10" s="3" t="s">
        <v>62</v>
      </c>
      <c r="H10" s="3" t="s">
        <v>63</v>
      </c>
    </row>
    <row r="11">
      <c r="A11" s="3" t="s">
        <v>64</v>
      </c>
      <c r="B11" s="7" t="s">
        <v>65</v>
      </c>
      <c r="C11" s="3" t="s">
        <v>17</v>
      </c>
      <c r="D11" s="3">
        <v>1.2024941924E10</v>
      </c>
      <c r="E11" s="3" t="s">
        <v>66</v>
      </c>
      <c r="F11" s="3" t="s">
        <v>67</v>
      </c>
      <c r="G11" s="3" t="s">
        <v>68</v>
      </c>
      <c r="H11" s="3" t="s">
        <v>69</v>
      </c>
    </row>
    <row r="12">
      <c r="A12" s="3" t="s">
        <v>70</v>
      </c>
      <c r="B12" s="7" t="s">
        <v>71</v>
      </c>
      <c r="C12" s="3" t="s">
        <v>72</v>
      </c>
      <c r="D12" s="3">
        <v>1.2027311204E10</v>
      </c>
      <c r="E12" s="3" t="s">
        <v>73</v>
      </c>
      <c r="F12" s="3" t="s">
        <v>74</v>
      </c>
      <c r="G12" s="3" t="s">
        <v>20</v>
      </c>
      <c r="H12" s="3" t="s">
        <v>75</v>
      </c>
    </row>
    <row r="13">
      <c r="A13" s="3" t="s">
        <v>76</v>
      </c>
      <c r="B13" s="7" t="s">
        <v>77</v>
      </c>
      <c r="C13" s="3" t="s">
        <v>72</v>
      </c>
      <c r="D13" s="3">
        <v>1.2028793824E10</v>
      </c>
      <c r="E13" s="3" t="s">
        <v>78</v>
      </c>
      <c r="F13" s="3" t="s">
        <v>79</v>
      </c>
      <c r="G13" s="3" t="s">
        <v>80</v>
      </c>
      <c r="H13" s="3" t="s">
        <v>81</v>
      </c>
    </row>
    <row r="14">
      <c r="A14" s="3" t="s">
        <v>82</v>
      </c>
      <c r="B14" s="7" t="s">
        <v>83</v>
      </c>
      <c r="C14" s="3" t="s">
        <v>84</v>
      </c>
      <c r="D14" s="8">
        <v>1.6104584978E10</v>
      </c>
      <c r="E14" s="3" t="s">
        <v>85</v>
      </c>
      <c r="F14" s="3" t="s">
        <v>86</v>
      </c>
      <c r="G14" s="3" t="s">
        <v>87</v>
      </c>
      <c r="H14" s="3" t="s">
        <v>88</v>
      </c>
    </row>
    <row r="15">
      <c r="A15" s="3" t="s">
        <v>89</v>
      </c>
      <c r="B15" s="7" t="s">
        <v>90</v>
      </c>
      <c r="C15" s="3" t="s">
        <v>17</v>
      </c>
      <c r="D15" s="3">
        <v>1.7038193112E10</v>
      </c>
      <c r="E15" s="3" t="s">
        <v>91</v>
      </c>
      <c r="F15" s="3" t="s">
        <v>92</v>
      </c>
      <c r="G15" s="3" t="s">
        <v>93</v>
      </c>
      <c r="H15" s="3" t="s">
        <v>94</v>
      </c>
    </row>
    <row r="16">
      <c r="A16" s="3" t="s">
        <v>95</v>
      </c>
      <c r="B16" s="7" t="s">
        <v>96</v>
      </c>
      <c r="C16" s="3" t="s">
        <v>97</v>
      </c>
      <c r="D16" s="3">
        <v>1.2145577385E10</v>
      </c>
      <c r="E16" s="3" t="s">
        <v>98</v>
      </c>
      <c r="F16" s="3" t="s">
        <v>99</v>
      </c>
      <c r="G16" s="3" t="s">
        <v>80</v>
      </c>
    </row>
    <row r="17">
      <c r="A17" s="3" t="s">
        <v>100</v>
      </c>
      <c r="B17" s="7" t="s">
        <v>101</v>
      </c>
      <c r="C17" s="3" t="s">
        <v>102</v>
      </c>
      <c r="D17" s="3">
        <v>1.2145777002E10</v>
      </c>
      <c r="E17" s="3" t="s">
        <v>103</v>
      </c>
      <c r="F17" s="3" t="s">
        <v>104</v>
      </c>
      <c r="G17" s="3" t="s">
        <v>27</v>
      </c>
      <c r="H17" s="3" t="s">
        <v>105</v>
      </c>
    </row>
    <row r="18">
      <c r="A18" s="3" t="s">
        <v>106</v>
      </c>
      <c r="B18" s="7" t="s">
        <v>107</v>
      </c>
      <c r="C18" s="3" t="s">
        <v>108</v>
      </c>
      <c r="D18" s="3">
        <v>1.7037125469E10</v>
      </c>
      <c r="E18" s="3" t="s">
        <v>109</v>
      </c>
      <c r="F18" s="3" t="s">
        <v>110</v>
      </c>
      <c r="G18" s="3" t="s">
        <v>80</v>
      </c>
      <c r="H18" s="3" t="s">
        <v>111</v>
      </c>
    </row>
    <row r="19">
      <c r="A19" s="3" t="s">
        <v>112</v>
      </c>
      <c r="B19" s="7" t="s">
        <v>113</v>
      </c>
      <c r="C19" s="3" t="s">
        <v>72</v>
      </c>
      <c r="D19" s="3">
        <v>1.2028985842E10</v>
      </c>
      <c r="E19" s="3" t="s">
        <v>114</v>
      </c>
      <c r="F19" s="3" t="s">
        <v>115</v>
      </c>
      <c r="G19" s="3" t="s">
        <v>116</v>
      </c>
      <c r="H19" s="3" t="s">
        <v>117</v>
      </c>
    </row>
    <row r="20">
      <c r="A20" s="3" t="s">
        <v>118</v>
      </c>
      <c r="B20" s="7" t="s">
        <v>119</v>
      </c>
      <c r="C20" s="3" t="s">
        <v>120</v>
      </c>
      <c r="D20" s="3">
        <v>1.21562769E10</v>
      </c>
      <c r="E20" s="3" t="s">
        <v>121</v>
      </c>
      <c r="F20" s="3" t="s">
        <v>122</v>
      </c>
      <c r="G20" s="3" t="s">
        <v>80</v>
      </c>
      <c r="H20" s="3" t="s">
        <v>123</v>
      </c>
    </row>
    <row r="21">
      <c r="A21" s="3" t="s">
        <v>124</v>
      </c>
      <c r="B21" s="7" t="s">
        <v>125</v>
      </c>
      <c r="C21" s="3" t="s">
        <v>126</v>
      </c>
      <c r="D21" s="3">
        <v>1.469904455E10</v>
      </c>
      <c r="E21" s="3" t="s">
        <v>127</v>
      </c>
      <c r="F21" s="3" t="s">
        <v>128</v>
      </c>
      <c r="G21" s="3" t="s">
        <v>62</v>
      </c>
      <c r="H21" s="3" t="s">
        <v>129</v>
      </c>
    </row>
    <row r="22">
      <c r="A22" s="3" t="s">
        <v>130</v>
      </c>
      <c r="B22" s="7" t="s">
        <v>131</v>
      </c>
      <c r="C22" s="3" t="s">
        <v>10</v>
      </c>
      <c r="D22" s="3">
        <v>1.2027717978E10</v>
      </c>
      <c r="E22" s="3" t="s">
        <v>132</v>
      </c>
      <c r="F22" s="3" t="s">
        <v>133</v>
      </c>
      <c r="G22" s="3" t="s">
        <v>116</v>
      </c>
      <c r="H22" s="3" t="s">
        <v>134</v>
      </c>
    </row>
    <row r="23">
      <c r="A23" s="3" t="s">
        <v>135</v>
      </c>
      <c r="B23" s="7" t="s">
        <v>136</v>
      </c>
      <c r="C23" s="3" t="s">
        <v>31</v>
      </c>
      <c r="D23" s="3">
        <v>1.2122451E10</v>
      </c>
      <c r="E23" s="3" t="s">
        <v>137</v>
      </c>
      <c r="F23" s="3" t="s">
        <v>138</v>
      </c>
      <c r="G23" s="3" t="s">
        <v>62</v>
      </c>
      <c r="H23" s="3" t="s">
        <v>139</v>
      </c>
    </row>
    <row r="24">
      <c r="A24" s="3" t="s">
        <v>140</v>
      </c>
      <c r="B24" s="7" t="s">
        <v>141</v>
      </c>
      <c r="C24" s="3" t="s">
        <v>31</v>
      </c>
      <c r="D24" s="3">
        <v>1.21236375E10</v>
      </c>
      <c r="E24" s="3" t="s">
        <v>142</v>
      </c>
      <c r="F24" s="3" t="s">
        <v>143</v>
      </c>
      <c r="G24" s="3" t="s">
        <v>62</v>
      </c>
      <c r="H24" s="3" t="s">
        <v>144</v>
      </c>
    </row>
    <row r="25">
      <c r="A25" s="3" t="s">
        <v>145</v>
      </c>
      <c r="B25" s="7" t="s">
        <v>146</v>
      </c>
      <c r="C25" s="3" t="s">
        <v>147</v>
      </c>
      <c r="D25" s="5">
        <f>97444532501</f>
        <v>97444532501</v>
      </c>
      <c r="E25" s="3" t="s">
        <v>148</v>
      </c>
      <c r="F25" s="3" t="s">
        <v>149</v>
      </c>
      <c r="G25" s="3" t="s">
        <v>62</v>
      </c>
      <c r="H25" s="3" t="s">
        <v>150</v>
      </c>
    </row>
    <row r="26">
      <c r="A26" s="3" t="s">
        <v>151</v>
      </c>
      <c r="B26" s="7" t="s">
        <v>152</v>
      </c>
      <c r="C26" s="3" t="s">
        <v>72</v>
      </c>
      <c r="D26" s="3">
        <v>2.022634604E9</v>
      </c>
      <c r="E26" s="3" t="s">
        <v>153</v>
      </c>
      <c r="F26" s="3" t="s">
        <v>154</v>
      </c>
      <c r="G26" s="3" t="s">
        <v>93</v>
      </c>
      <c r="H26" s="3" t="s">
        <v>155</v>
      </c>
    </row>
    <row r="27">
      <c r="A27" s="3" t="s">
        <v>156</v>
      </c>
      <c r="B27" s="7" t="s">
        <v>157</v>
      </c>
      <c r="C27" s="3" t="s">
        <v>72</v>
      </c>
      <c r="D27" s="3">
        <v>2.02371111E9</v>
      </c>
      <c r="E27" s="3" t="s">
        <v>158</v>
      </c>
      <c r="F27" s="3" t="s">
        <v>159</v>
      </c>
      <c r="G27" s="3" t="s">
        <v>93</v>
      </c>
      <c r="H27" s="3" t="s">
        <v>160</v>
      </c>
    </row>
    <row r="28">
      <c r="A28" s="3" t="s">
        <v>161</v>
      </c>
      <c r="B28" s="7" t="s">
        <v>162</v>
      </c>
      <c r="C28" s="3" t="s">
        <v>72</v>
      </c>
      <c r="D28" s="3">
        <v>2.026626E9</v>
      </c>
      <c r="E28" s="3" t="s">
        <v>11</v>
      </c>
      <c r="F28" s="3" t="s">
        <v>163</v>
      </c>
      <c r="G28" s="3" t="s">
        <v>164</v>
      </c>
      <c r="H28" s="3" t="s">
        <v>165</v>
      </c>
    </row>
    <row r="29">
      <c r="A29" s="3" t="s">
        <v>166</v>
      </c>
      <c r="B29" s="7" t="s">
        <v>167</v>
      </c>
      <c r="C29" s="3" t="s">
        <v>168</v>
      </c>
      <c r="D29" s="3">
        <v>8.132237E9</v>
      </c>
      <c r="E29" s="3" t="s">
        <v>169</v>
      </c>
      <c r="F29" s="3" t="s">
        <v>170</v>
      </c>
      <c r="G29" s="3" t="s">
        <v>171</v>
      </c>
      <c r="H29" s="3" t="s">
        <v>172</v>
      </c>
    </row>
    <row r="30">
      <c r="A30" s="3" t="s">
        <v>173</v>
      </c>
      <c r="B30" s="7" t="s">
        <v>174</v>
      </c>
      <c r="C30" s="3" t="s">
        <v>108</v>
      </c>
      <c r="D30" s="5">
        <f>12027368000</f>
        <v>12027368000</v>
      </c>
      <c r="E30" s="3" t="s">
        <v>91</v>
      </c>
      <c r="F30" s="3" t="s">
        <v>175</v>
      </c>
      <c r="G30" s="3" t="s">
        <v>80</v>
      </c>
      <c r="H30" s="3" t="s">
        <v>176</v>
      </c>
    </row>
    <row r="31">
      <c r="A31" s="3" t="s">
        <v>177</v>
      </c>
      <c r="B31" s="7" t="s">
        <v>178</v>
      </c>
      <c r="C31" s="3" t="s">
        <v>108</v>
      </c>
      <c r="D31" s="3">
        <v>2.02918187E9</v>
      </c>
      <c r="E31" s="3" t="s">
        <v>179</v>
      </c>
      <c r="F31" s="3" t="s">
        <v>180</v>
      </c>
      <c r="G31" s="3" t="s">
        <v>62</v>
      </c>
      <c r="H31" s="3" t="s">
        <v>181</v>
      </c>
    </row>
    <row r="32">
      <c r="A32" s="3" t="s">
        <v>182</v>
      </c>
      <c r="B32" s="7" t="s">
        <v>183</v>
      </c>
      <c r="C32" s="3" t="s">
        <v>184</v>
      </c>
      <c r="D32" s="3">
        <v>2.0240846E9</v>
      </c>
      <c r="E32" s="3" t="s">
        <v>185</v>
      </c>
      <c r="F32" s="3" t="s">
        <v>186</v>
      </c>
      <c r="G32" s="3" t="s">
        <v>62</v>
      </c>
      <c r="H32" s="3" t="s">
        <v>187</v>
      </c>
    </row>
    <row r="33">
      <c r="A33" s="3" t="s">
        <v>188</v>
      </c>
      <c r="B33" s="7" t="s">
        <v>189</v>
      </c>
      <c r="C33" s="3" t="s">
        <v>190</v>
      </c>
      <c r="D33" s="3">
        <v>8.187071488E9</v>
      </c>
      <c r="E33" s="3" t="s">
        <v>191</v>
      </c>
      <c r="F33" s="3" t="s">
        <v>192</v>
      </c>
      <c r="G33" s="3" t="s">
        <v>116</v>
      </c>
      <c r="H33" s="3" t="s">
        <v>193</v>
      </c>
    </row>
    <row r="34">
      <c r="A34" s="3" t="s">
        <v>194</v>
      </c>
      <c r="B34" s="7" t="s">
        <v>195</v>
      </c>
      <c r="C34" s="3" t="s">
        <v>196</v>
      </c>
      <c r="E34" s="3" t="s">
        <v>197</v>
      </c>
      <c r="F34" s="3" t="s">
        <v>198</v>
      </c>
      <c r="G34" s="3" t="s">
        <v>199</v>
      </c>
      <c r="H34" s="3" t="s">
        <v>200</v>
      </c>
    </row>
    <row r="35">
      <c r="A35" s="3" t="s">
        <v>201</v>
      </c>
      <c r="B35" s="7" t="s">
        <v>202</v>
      </c>
      <c r="C35" s="3" t="s">
        <v>203</v>
      </c>
      <c r="E35" s="3" t="s">
        <v>204</v>
      </c>
      <c r="F35" s="3" t="s">
        <v>205</v>
      </c>
      <c r="G35" s="3" t="s">
        <v>206</v>
      </c>
    </row>
    <row r="36">
      <c r="A36" s="3" t="s">
        <v>207</v>
      </c>
      <c r="B36" s="7" t="s">
        <v>208</v>
      </c>
      <c r="C36" s="3" t="s">
        <v>203</v>
      </c>
      <c r="E36" s="3" t="s">
        <v>209</v>
      </c>
      <c r="F36" s="3" t="s">
        <v>210</v>
      </c>
      <c r="G36" s="3" t="s">
        <v>20</v>
      </c>
      <c r="H36" s="3" t="s">
        <v>211</v>
      </c>
    </row>
    <row r="37">
      <c r="A37" s="3" t="s">
        <v>212</v>
      </c>
      <c r="B37" s="7" t="s">
        <v>213</v>
      </c>
      <c r="C37" s="3" t="s">
        <v>214</v>
      </c>
      <c r="D37" s="3">
        <v>2.133887788E9</v>
      </c>
      <c r="E37" s="3" t="s">
        <v>215</v>
      </c>
      <c r="F37" s="3" t="s">
        <v>216</v>
      </c>
      <c r="G37" s="3" t="s">
        <v>217</v>
      </c>
      <c r="H37" s="3" t="s">
        <v>218</v>
      </c>
    </row>
    <row r="38">
      <c r="A38" s="3" t="s">
        <v>219</v>
      </c>
      <c r="B38" s="7" t="s">
        <v>220</v>
      </c>
      <c r="C38" s="3" t="s">
        <v>214</v>
      </c>
      <c r="D38" s="3">
        <v>9.513538E9</v>
      </c>
      <c r="E38" s="3" t="s">
        <v>221</v>
      </c>
      <c r="F38" s="3" t="s">
        <v>222</v>
      </c>
      <c r="G38" s="3" t="s">
        <v>62</v>
      </c>
      <c r="H38" s="3" t="s">
        <v>223</v>
      </c>
    </row>
    <row r="39">
      <c r="A39" s="3" t="s">
        <v>224</v>
      </c>
      <c r="B39" s="7" t="s">
        <v>225</v>
      </c>
      <c r="C39" s="3" t="s">
        <v>190</v>
      </c>
      <c r="D39" s="3">
        <v>2.135237439E9</v>
      </c>
      <c r="E39" s="3" t="s">
        <v>226</v>
      </c>
      <c r="F39" s="3" t="s">
        <v>227</v>
      </c>
      <c r="G39" s="3" t="s">
        <v>20</v>
      </c>
      <c r="H39" s="3" t="s">
        <v>228</v>
      </c>
    </row>
    <row r="40">
      <c r="A40" s="3" t="s">
        <v>229</v>
      </c>
      <c r="B40" s="7" t="s">
        <v>230</v>
      </c>
      <c r="C40" s="3" t="s">
        <v>190</v>
      </c>
      <c r="D40" s="3">
        <v>2.139273701E9</v>
      </c>
      <c r="E40" s="3" t="s">
        <v>231</v>
      </c>
      <c r="F40" s="3" t="s">
        <v>232</v>
      </c>
      <c r="G40" s="3" t="s">
        <v>20</v>
      </c>
      <c r="H40" s="3" t="s">
        <v>233</v>
      </c>
    </row>
    <row r="41">
      <c r="A41" s="3" t="s">
        <v>234</v>
      </c>
      <c r="B41" s="7" t="s">
        <v>235</v>
      </c>
      <c r="C41" s="3" t="s">
        <v>236</v>
      </c>
      <c r="D41" s="3">
        <v>1.3105933015E10</v>
      </c>
      <c r="E41" s="3" t="s">
        <v>237</v>
      </c>
      <c r="F41" s="3" t="s">
        <v>238</v>
      </c>
      <c r="G41" s="3" t="s">
        <v>93</v>
      </c>
      <c r="H41" s="3" t="s">
        <v>239</v>
      </c>
    </row>
    <row r="42">
      <c r="A42" s="3" t="s">
        <v>240</v>
      </c>
      <c r="B42" s="7" t="s">
        <v>241</v>
      </c>
      <c r="C42" s="3" t="s">
        <v>190</v>
      </c>
      <c r="D42" s="3">
        <v>1.8189813712E10</v>
      </c>
      <c r="E42" s="3" t="s">
        <v>242</v>
      </c>
      <c r="F42" s="3" t="s">
        <v>186</v>
      </c>
      <c r="G42" s="3" t="s">
        <v>62</v>
      </c>
      <c r="H42" s="9" t="s">
        <v>243</v>
      </c>
    </row>
    <row r="43">
      <c r="A43" s="3" t="s">
        <v>244</v>
      </c>
      <c r="B43" s="7" t="s">
        <v>245</v>
      </c>
      <c r="C43" s="3" t="s">
        <v>246</v>
      </c>
      <c r="D43" s="3">
        <v>1.2133356282E10</v>
      </c>
      <c r="E43" s="3" t="s">
        <v>247</v>
      </c>
      <c r="F43" s="3" t="s">
        <v>248</v>
      </c>
      <c r="G43" s="3" t="s">
        <v>93</v>
      </c>
      <c r="H43" s="3" t="s">
        <v>249</v>
      </c>
    </row>
    <row r="44">
      <c r="A44" s="3" t="s">
        <v>250</v>
      </c>
      <c r="B44" s="7" t="s">
        <v>251</v>
      </c>
      <c r="C44" s="3" t="s">
        <v>214</v>
      </c>
      <c r="D44" s="3">
        <v>8.183503113E9</v>
      </c>
      <c r="E44" s="3" t="s">
        <v>252</v>
      </c>
      <c r="F44" s="3" t="s">
        <v>253</v>
      </c>
      <c r="G44" s="3" t="s">
        <v>68</v>
      </c>
      <c r="H44" s="3" t="s">
        <v>254</v>
      </c>
    </row>
    <row r="45">
      <c r="A45" s="3" t="s">
        <v>255</v>
      </c>
      <c r="B45" s="7" t="s">
        <v>256</v>
      </c>
      <c r="C45" s="3" t="s">
        <v>257</v>
      </c>
      <c r="D45" s="3">
        <v>2.026181873E9</v>
      </c>
      <c r="E45" s="3" t="s">
        <v>258</v>
      </c>
      <c r="F45" s="3" t="s">
        <v>259</v>
      </c>
      <c r="G45" s="3" t="s">
        <v>260</v>
      </c>
      <c r="H45" s="3" t="s">
        <v>261</v>
      </c>
    </row>
    <row r="46">
      <c r="A46" s="3" t="s">
        <v>262</v>
      </c>
      <c r="B46" s="7" t="s">
        <v>263</v>
      </c>
      <c r="C46" s="3" t="s">
        <v>264</v>
      </c>
      <c r="D46" s="3">
        <v>1.41571321999E11</v>
      </c>
      <c r="E46" s="3" t="s">
        <v>265</v>
      </c>
      <c r="F46" s="3" t="s">
        <v>266</v>
      </c>
      <c r="G46" s="3" t="s">
        <v>80</v>
      </c>
      <c r="H46" s="3" t="s">
        <v>267</v>
      </c>
    </row>
    <row r="47">
      <c r="A47" s="3" t="s">
        <v>268</v>
      </c>
      <c r="B47" s="7" t="s">
        <v>269</v>
      </c>
      <c r="C47" s="3" t="s">
        <v>190</v>
      </c>
      <c r="D47" s="3">
        <v>1.3232384683E10</v>
      </c>
      <c r="E47" s="3" t="s">
        <v>270</v>
      </c>
      <c r="F47" s="3" t="s">
        <v>271</v>
      </c>
      <c r="G47" s="3" t="s">
        <v>20</v>
      </c>
      <c r="H47" s="3" t="s">
        <v>272</v>
      </c>
    </row>
    <row r="48">
      <c r="A48" s="3" t="s">
        <v>273</v>
      </c>
      <c r="B48" s="7" t="s">
        <v>274</v>
      </c>
      <c r="C48" s="3" t="s">
        <v>190</v>
      </c>
      <c r="D48" s="5">
        <f>+13109797080</f>
        <v>13109797080</v>
      </c>
      <c r="E48" s="3" t="s">
        <v>158</v>
      </c>
      <c r="F48" s="3" t="s">
        <v>275</v>
      </c>
      <c r="G48" s="3" t="s">
        <v>276</v>
      </c>
      <c r="H48" s="9" t="s">
        <v>277</v>
      </c>
    </row>
    <row r="49">
      <c r="A49" s="3" t="s">
        <v>278</v>
      </c>
      <c r="B49" s="7" t="s">
        <v>279</v>
      </c>
      <c r="C49" s="3" t="s">
        <v>190</v>
      </c>
      <c r="D49" s="5">
        <f>+19495028600</f>
        <v>19495028600</v>
      </c>
      <c r="E49" s="3" t="s">
        <v>280</v>
      </c>
      <c r="F49" s="3" t="s">
        <v>281</v>
      </c>
      <c r="G49" s="3" t="s">
        <v>80</v>
      </c>
      <c r="H49" s="3" t="s">
        <v>282</v>
      </c>
    </row>
    <row r="50">
      <c r="A50" s="3" t="s">
        <v>283</v>
      </c>
      <c r="B50" s="7" t="s">
        <v>284</v>
      </c>
      <c r="C50" s="3" t="s">
        <v>214</v>
      </c>
      <c r="D50" s="5">
        <f>+13107468546</f>
        <v>13107468546</v>
      </c>
      <c r="E50" s="3" t="s">
        <v>285</v>
      </c>
      <c r="F50" s="3" t="s">
        <v>286</v>
      </c>
      <c r="G50" s="3" t="s">
        <v>287</v>
      </c>
      <c r="H50" s="3" t="s">
        <v>288</v>
      </c>
    </row>
    <row r="51">
      <c r="A51" s="3" t="s">
        <v>289</v>
      </c>
      <c r="B51" s="7" t="s">
        <v>290</v>
      </c>
      <c r="C51" s="3" t="s">
        <v>214</v>
      </c>
      <c r="D51" s="3">
        <v>1.3106669782E10</v>
      </c>
      <c r="E51" s="3" t="s">
        <v>291</v>
      </c>
      <c r="F51" s="3" t="s">
        <v>292</v>
      </c>
      <c r="G51" s="3" t="s">
        <v>62</v>
      </c>
      <c r="H51" s="3" t="s">
        <v>293</v>
      </c>
    </row>
    <row r="52">
      <c r="A52" s="3" t="s">
        <v>294</v>
      </c>
      <c r="B52" s="7" t="s">
        <v>295</v>
      </c>
      <c r="C52" s="3" t="s">
        <v>190</v>
      </c>
      <c r="D52" s="3">
        <v>1.310962816E10</v>
      </c>
      <c r="E52" s="3" t="s">
        <v>296</v>
      </c>
      <c r="F52" s="3" t="s">
        <v>297</v>
      </c>
      <c r="G52" s="3" t="s">
        <v>20</v>
      </c>
      <c r="H52" s="3" t="s">
        <v>298</v>
      </c>
    </row>
    <row r="53">
      <c r="A53" s="3" t="s">
        <v>299</v>
      </c>
      <c r="B53" s="7" t="s">
        <v>300</v>
      </c>
      <c r="C53" s="3" t="s">
        <v>190</v>
      </c>
      <c r="D53" s="3">
        <v>1.3104870304E10</v>
      </c>
      <c r="E53" s="3" t="s">
        <v>301</v>
      </c>
      <c r="F53" s="3" t="s">
        <v>302</v>
      </c>
      <c r="G53" s="3" t="s">
        <v>62</v>
      </c>
      <c r="H53" s="3" t="s">
        <v>303</v>
      </c>
    </row>
    <row r="54">
      <c r="A54" s="3" t="s">
        <v>304</v>
      </c>
      <c r="B54" s="7" t="s">
        <v>305</v>
      </c>
      <c r="C54" s="3" t="s">
        <v>190</v>
      </c>
      <c r="D54" s="5">
        <f>+13104741582</f>
        <v>13104741582</v>
      </c>
      <c r="E54" s="3" t="s">
        <v>306</v>
      </c>
      <c r="F54" s="3" t="s">
        <v>307</v>
      </c>
      <c r="G54" s="3" t="s">
        <v>80</v>
      </c>
      <c r="H54" s="3" t="s">
        <v>308</v>
      </c>
    </row>
    <row r="55">
      <c r="A55" s="3" t="s">
        <v>309</v>
      </c>
      <c r="B55" s="7" t="s">
        <v>310</v>
      </c>
      <c r="C55" s="3" t="s">
        <v>214</v>
      </c>
      <c r="D55" s="3">
        <v>1.31091368E10</v>
      </c>
      <c r="E55" s="3" t="s">
        <v>242</v>
      </c>
      <c r="F55" s="3" t="s">
        <v>311</v>
      </c>
      <c r="G55" s="3" t="s">
        <v>93</v>
      </c>
      <c r="H55" s="3" t="s">
        <v>312</v>
      </c>
    </row>
    <row r="56">
      <c r="A56" s="3" t="s">
        <v>313</v>
      </c>
      <c r="B56" s="7" t="s">
        <v>314</v>
      </c>
      <c r="C56" s="3" t="s">
        <v>214</v>
      </c>
      <c r="D56" s="3">
        <v>1.8186331205E10</v>
      </c>
      <c r="E56" s="3" t="s">
        <v>315</v>
      </c>
      <c r="F56" s="3" t="s">
        <v>316</v>
      </c>
      <c r="G56" s="3" t="s">
        <v>93</v>
      </c>
      <c r="H56" s="3" t="s">
        <v>317</v>
      </c>
    </row>
    <row r="57">
      <c r="A57" s="3" t="s">
        <v>318</v>
      </c>
      <c r="B57" s="7" t="s">
        <v>319</v>
      </c>
      <c r="C57" s="3" t="s">
        <v>214</v>
      </c>
      <c r="D57" s="3">
        <v>1.3107703292E10</v>
      </c>
      <c r="E57" s="3" t="s">
        <v>320</v>
      </c>
      <c r="F57" s="3" t="s">
        <v>321</v>
      </c>
      <c r="G57" s="3" t="s">
        <v>287</v>
      </c>
      <c r="H57" s="3" t="s">
        <v>322</v>
      </c>
    </row>
    <row r="58">
      <c r="A58" s="3" t="s">
        <v>323</v>
      </c>
      <c r="B58" s="7" t="s">
        <v>324</v>
      </c>
      <c r="C58" s="3" t="s">
        <v>214</v>
      </c>
      <c r="D58" s="3">
        <v>1.310592443E10</v>
      </c>
      <c r="E58" s="3" t="s">
        <v>325</v>
      </c>
      <c r="F58" s="3" t="s">
        <v>326</v>
      </c>
      <c r="G58" s="3" t="s">
        <v>327</v>
      </c>
      <c r="H58" s="3" t="s">
        <v>328</v>
      </c>
    </row>
    <row r="59">
      <c r="A59" s="3" t="s">
        <v>329</v>
      </c>
      <c r="B59" s="7" t="s">
        <v>330</v>
      </c>
      <c r="C59" s="3" t="s">
        <v>168</v>
      </c>
      <c r="D59" s="3">
        <v>1.7323200749E10</v>
      </c>
      <c r="E59" s="3" t="s">
        <v>331</v>
      </c>
      <c r="F59" s="3" t="s">
        <v>332</v>
      </c>
      <c r="G59" s="3" t="s">
        <v>333</v>
      </c>
      <c r="H59" s="3" t="s">
        <v>334</v>
      </c>
    </row>
    <row r="60">
      <c r="A60" s="3" t="s">
        <v>335</v>
      </c>
      <c r="B60" s="7" t="s">
        <v>336</v>
      </c>
      <c r="C60" s="3" t="s">
        <v>214</v>
      </c>
      <c r="D60" s="3">
        <v>1.5109038841E10</v>
      </c>
      <c r="E60" s="3" t="s">
        <v>242</v>
      </c>
      <c r="F60" s="3" t="s">
        <v>337</v>
      </c>
      <c r="G60" s="3" t="s">
        <v>68</v>
      </c>
      <c r="H60" s="3" t="s">
        <v>338</v>
      </c>
    </row>
    <row r="61">
      <c r="A61" s="3" t="s">
        <v>339</v>
      </c>
      <c r="B61" s="7" t="s">
        <v>340</v>
      </c>
      <c r="C61" s="3" t="s">
        <v>214</v>
      </c>
      <c r="D61" s="3">
        <v>1.8185541524E10</v>
      </c>
      <c r="E61" s="3" t="s">
        <v>341</v>
      </c>
      <c r="F61" s="3" t="s">
        <v>342</v>
      </c>
      <c r="G61" s="3" t="s">
        <v>27</v>
      </c>
      <c r="H61" s="3" t="s">
        <v>343</v>
      </c>
    </row>
    <row r="62">
      <c r="A62" s="3" t="s">
        <v>344</v>
      </c>
      <c r="B62" s="7" t="s">
        <v>345</v>
      </c>
      <c r="C62" s="3" t="s">
        <v>214</v>
      </c>
      <c r="D62" s="3">
        <v>1.3108586863E10</v>
      </c>
      <c r="E62" s="3" t="s">
        <v>346</v>
      </c>
      <c r="F62" s="3" t="s">
        <v>347</v>
      </c>
      <c r="G62" s="3" t="s">
        <v>348</v>
      </c>
      <c r="H62" s="3" t="s">
        <v>349</v>
      </c>
    </row>
    <row r="63">
      <c r="A63" s="3" t="s">
        <v>350</v>
      </c>
      <c r="B63" s="7" t="s">
        <v>351</v>
      </c>
      <c r="C63" s="3" t="s">
        <v>214</v>
      </c>
      <c r="D63" s="3">
        <v>1.2136101139E10</v>
      </c>
      <c r="E63" s="3" t="s">
        <v>352</v>
      </c>
      <c r="F63" s="3" t="s">
        <v>353</v>
      </c>
      <c r="G63" s="3" t="s">
        <v>354</v>
      </c>
      <c r="H63" s="3" t="s">
        <v>355</v>
      </c>
    </row>
    <row r="64">
      <c r="A64" s="3" t="s">
        <v>356</v>
      </c>
      <c r="B64" s="7" t="s">
        <v>357</v>
      </c>
      <c r="C64" s="3" t="s">
        <v>214</v>
      </c>
      <c r="D64" s="3">
        <v>1.310962866E10</v>
      </c>
      <c r="E64" s="3" t="s">
        <v>358</v>
      </c>
      <c r="F64" s="3" t="s">
        <v>359</v>
      </c>
      <c r="G64" s="3" t="s">
        <v>68</v>
      </c>
      <c r="H64" s="3" t="s">
        <v>360</v>
      </c>
    </row>
    <row r="65">
      <c r="A65" s="3" t="s">
        <v>361</v>
      </c>
      <c r="B65" s="7" t="s">
        <v>362</v>
      </c>
      <c r="C65" s="3" t="s">
        <v>190</v>
      </c>
      <c r="D65" s="3">
        <v>1.9099965906E10</v>
      </c>
      <c r="E65" s="3" t="s">
        <v>363</v>
      </c>
      <c r="F65" s="3" t="s">
        <v>364</v>
      </c>
      <c r="G65" s="3" t="s">
        <v>217</v>
      </c>
      <c r="H65" s="3" t="s">
        <v>365</v>
      </c>
    </row>
    <row r="66">
      <c r="A66" s="3" t="s">
        <v>366</v>
      </c>
      <c r="B66" s="7" t="s">
        <v>367</v>
      </c>
      <c r="C66" s="3" t="s">
        <v>190</v>
      </c>
      <c r="D66" s="3">
        <v>1.4154208789E10</v>
      </c>
      <c r="E66" s="3" t="s">
        <v>368</v>
      </c>
      <c r="F66" s="3" t="s">
        <v>369</v>
      </c>
      <c r="G66" s="3" t="s">
        <v>20</v>
      </c>
      <c r="H66" s="3" t="s">
        <v>370</v>
      </c>
    </row>
    <row r="67">
      <c r="A67" s="3" t="s">
        <v>371</v>
      </c>
      <c r="B67" s="7" t="s">
        <v>372</v>
      </c>
      <c r="C67" s="3" t="s">
        <v>214</v>
      </c>
      <c r="D67" s="3">
        <v>1.3106233771E10</v>
      </c>
      <c r="E67" s="3" t="s">
        <v>291</v>
      </c>
      <c r="F67" s="3" t="s">
        <v>373</v>
      </c>
      <c r="G67" s="3" t="s">
        <v>20</v>
      </c>
      <c r="H67" s="3" t="s">
        <v>374</v>
      </c>
    </row>
    <row r="68">
      <c r="A68" s="3" t="s">
        <v>375</v>
      </c>
      <c r="B68" s="7" t="s">
        <v>376</v>
      </c>
      <c r="C68" s="3" t="s">
        <v>214</v>
      </c>
      <c r="D68" s="3">
        <v>1.3102790642E10</v>
      </c>
      <c r="E68" s="3" t="s">
        <v>127</v>
      </c>
      <c r="F68" s="3" t="s">
        <v>377</v>
      </c>
      <c r="G68" s="3" t="s">
        <v>93</v>
      </c>
      <c r="H68" s="3" t="s">
        <v>378</v>
      </c>
    </row>
    <row r="69">
      <c r="A69" s="3" t="s">
        <v>379</v>
      </c>
      <c r="B69" s="7" t="s">
        <v>380</v>
      </c>
      <c r="C69" s="3" t="s">
        <v>214</v>
      </c>
      <c r="D69" s="3">
        <v>1.8185355652E10</v>
      </c>
      <c r="E69" s="3" t="s">
        <v>381</v>
      </c>
      <c r="F69" s="3" t="s">
        <v>382</v>
      </c>
      <c r="G69" s="3" t="s">
        <v>80</v>
      </c>
      <c r="H69" s="3" t="s">
        <v>383</v>
      </c>
    </row>
    <row r="70">
      <c r="A70" s="3" t="s">
        <v>384</v>
      </c>
      <c r="B70" s="7" t="s">
        <v>385</v>
      </c>
      <c r="C70" s="3" t="s">
        <v>214</v>
      </c>
      <c r="D70" s="3">
        <v>1.32393395E10</v>
      </c>
      <c r="E70" s="3" t="s">
        <v>127</v>
      </c>
      <c r="F70" s="3" t="s">
        <v>386</v>
      </c>
      <c r="G70" s="3" t="s">
        <v>387</v>
      </c>
      <c r="H70" s="3" t="s">
        <v>388</v>
      </c>
    </row>
    <row r="71">
      <c r="A71" s="3" t="s">
        <v>389</v>
      </c>
      <c r="B71" s="7" t="s">
        <v>390</v>
      </c>
      <c r="C71" s="3" t="s">
        <v>391</v>
      </c>
      <c r="D71" s="3">
        <v>1.2133201001E10</v>
      </c>
      <c r="E71" s="3" t="s">
        <v>392</v>
      </c>
      <c r="F71" s="3" t="s">
        <v>393</v>
      </c>
      <c r="G71" s="3" t="s">
        <v>93</v>
      </c>
      <c r="H71" s="3" t="s">
        <v>394</v>
      </c>
    </row>
    <row r="72">
      <c r="A72" s="3" t="s">
        <v>395</v>
      </c>
      <c r="B72" s="7" t="s">
        <v>396</v>
      </c>
      <c r="C72" s="3" t="s">
        <v>397</v>
      </c>
      <c r="D72" s="3">
        <v>1.213674617E10</v>
      </c>
      <c r="E72" s="3" t="s">
        <v>398</v>
      </c>
      <c r="F72" s="3" t="s">
        <v>399</v>
      </c>
      <c r="G72" s="3" t="s">
        <v>400</v>
      </c>
      <c r="H72" s="3" t="s">
        <v>401</v>
      </c>
    </row>
    <row r="73">
      <c r="A73" s="3" t="s">
        <v>402</v>
      </c>
      <c r="B73" s="7" t="s">
        <v>403</v>
      </c>
      <c r="C73" s="3" t="s">
        <v>404</v>
      </c>
      <c r="E73" s="3" t="s">
        <v>405</v>
      </c>
      <c r="F73" s="3" t="s">
        <v>406</v>
      </c>
      <c r="G73" s="3" t="s">
        <v>80</v>
      </c>
      <c r="H73" s="3" t="s">
        <v>407</v>
      </c>
    </row>
    <row r="74">
      <c r="A74" s="3" t="s">
        <v>408</v>
      </c>
      <c r="B74" s="7" t="s">
        <v>409</v>
      </c>
      <c r="C74" s="3" t="s">
        <v>410</v>
      </c>
      <c r="D74" s="3">
        <v>1.3102103366E10</v>
      </c>
      <c r="E74" s="3" t="s">
        <v>411</v>
      </c>
      <c r="F74" s="3" t="s">
        <v>412</v>
      </c>
      <c r="G74" s="3" t="s">
        <v>413</v>
      </c>
      <c r="H74" s="3" t="s">
        <v>414</v>
      </c>
    </row>
    <row r="75">
      <c r="A75" s="3" t="s">
        <v>415</v>
      </c>
      <c r="B75" s="7" t="s">
        <v>416</v>
      </c>
      <c r="C75" s="3" t="s">
        <v>190</v>
      </c>
      <c r="D75" s="3">
        <v>1.3104661758E10</v>
      </c>
      <c r="E75" s="3" t="s">
        <v>417</v>
      </c>
      <c r="F75" s="3" t="s">
        <v>418</v>
      </c>
      <c r="G75" s="3" t="s">
        <v>80</v>
      </c>
      <c r="H75" s="3" t="s">
        <v>419</v>
      </c>
    </row>
    <row r="76">
      <c r="A76" s="3" t="s">
        <v>420</v>
      </c>
      <c r="B76" s="7" t="s">
        <v>421</v>
      </c>
      <c r="C76" s="3" t="s">
        <v>214</v>
      </c>
      <c r="D76" s="3">
        <v>1.3104820107E10</v>
      </c>
      <c r="E76" s="3" t="s">
        <v>422</v>
      </c>
      <c r="F76" s="3" t="s">
        <v>423</v>
      </c>
      <c r="G76" s="3" t="s">
        <v>93</v>
      </c>
      <c r="H76" s="3" t="s">
        <v>424</v>
      </c>
    </row>
    <row r="77">
      <c r="A77" s="3" t="s">
        <v>425</v>
      </c>
      <c r="B77" s="7" t="s">
        <v>426</v>
      </c>
      <c r="C77" s="3" t="s">
        <v>214</v>
      </c>
      <c r="D77" s="3">
        <v>1.3108805684E10</v>
      </c>
      <c r="E77" s="3" t="s">
        <v>427</v>
      </c>
      <c r="F77" s="3" t="s">
        <v>428</v>
      </c>
      <c r="G77" s="3" t="s">
        <v>93</v>
      </c>
      <c r="H77" s="3" t="s">
        <v>429</v>
      </c>
    </row>
    <row r="78">
      <c r="A78" s="3" t="s">
        <v>430</v>
      </c>
      <c r="B78" s="7" t="s">
        <v>431</v>
      </c>
      <c r="C78" s="3" t="s">
        <v>432</v>
      </c>
      <c r="D78" s="3">
        <v>1.6305147213E10</v>
      </c>
      <c r="E78" s="3" t="s">
        <v>433</v>
      </c>
      <c r="F78" s="3" t="s">
        <v>434</v>
      </c>
      <c r="G78" s="3" t="s">
        <v>348</v>
      </c>
      <c r="H78" s="3" t="s">
        <v>435</v>
      </c>
    </row>
    <row r="79">
      <c r="A79" s="3" t="s">
        <v>436</v>
      </c>
      <c r="B79" s="7" t="s">
        <v>437</v>
      </c>
      <c r="C79" s="3" t="s">
        <v>214</v>
      </c>
      <c r="D79" s="3">
        <v>1.310439801E10</v>
      </c>
      <c r="E79" s="3" t="s">
        <v>438</v>
      </c>
      <c r="F79" s="3" t="s">
        <v>439</v>
      </c>
      <c r="G79" s="3" t="s">
        <v>440</v>
      </c>
      <c r="H79" s="3" t="s">
        <v>441</v>
      </c>
    </row>
    <row r="80">
      <c r="A80" s="3" t="s">
        <v>442</v>
      </c>
      <c r="B80" s="7" t="s">
        <v>443</v>
      </c>
      <c r="C80" s="3" t="s">
        <v>444</v>
      </c>
      <c r="D80" s="3">
        <v>1.713443722E10</v>
      </c>
      <c r="E80" s="3" t="s">
        <v>445</v>
      </c>
      <c r="F80" s="3" t="s">
        <v>446</v>
      </c>
      <c r="G80" s="3" t="s">
        <v>80</v>
      </c>
      <c r="H80" s="3" t="s">
        <v>447</v>
      </c>
    </row>
    <row r="81">
      <c r="A81" s="3" t="s">
        <v>448</v>
      </c>
      <c r="B81" s="7" t="s">
        <v>449</v>
      </c>
      <c r="C81" s="3" t="s">
        <v>450</v>
      </c>
      <c r="D81" s="3">
        <v>1.3109038037E10</v>
      </c>
      <c r="E81" s="3" t="s">
        <v>280</v>
      </c>
      <c r="F81" s="3" t="s">
        <v>451</v>
      </c>
      <c r="G81" s="3" t="s">
        <v>93</v>
      </c>
      <c r="H81" s="3" t="s">
        <v>452</v>
      </c>
    </row>
    <row r="82">
      <c r="A82" s="3" t="s">
        <v>453</v>
      </c>
      <c r="B82" s="7" t="s">
        <v>454</v>
      </c>
      <c r="C82" s="3" t="s">
        <v>214</v>
      </c>
      <c r="D82" s="3">
        <v>1.3102790642E10</v>
      </c>
      <c r="E82" s="3" t="s">
        <v>127</v>
      </c>
      <c r="F82" s="3" t="s">
        <v>377</v>
      </c>
      <c r="G82" s="3" t="s">
        <v>93</v>
      </c>
      <c r="H82" s="3" t="s">
        <v>378</v>
      </c>
    </row>
    <row r="83">
      <c r="A83" s="3" t="s">
        <v>455</v>
      </c>
      <c r="B83" s="7" t="s">
        <v>456</v>
      </c>
      <c r="C83" s="3" t="s">
        <v>457</v>
      </c>
      <c r="D83" s="3">
        <v>1.9495583421E10</v>
      </c>
      <c r="E83" s="3" t="s">
        <v>458</v>
      </c>
      <c r="F83" s="3" t="s">
        <v>459</v>
      </c>
      <c r="G83" s="3" t="s">
        <v>20</v>
      </c>
      <c r="H83" s="3" t="s">
        <v>460</v>
      </c>
    </row>
    <row r="84">
      <c r="A84" s="3" t="s">
        <v>461</v>
      </c>
      <c r="B84" s="7" t="s">
        <v>462</v>
      </c>
      <c r="C84" s="3" t="s">
        <v>463</v>
      </c>
      <c r="D84" s="3">
        <v>1.3108782061E10</v>
      </c>
      <c r="E84" s="3" t="s">
        <v>464</v>
      </c>
      <c r="F84" s="3" t="s">
        <v>465</v>
      </c>
      <c r="G84" s="3" t="s">
        <v>466</v>
      </c>
      <c r="H84" s="3" t="s">
        <v>467</v>
      </c>
    </row>
    <row r="85">
      <c r="A85" s="3" t="s">
        <v>468</v>
      </c>
      <c r="B85" s="7" t="s">
        <v>469</v>
      </c>
      <c r="C85" s="3" t="s">
        <v>214</v>
      </c>
      <c r="D85" s="3">
        <v>1.3103658141E10</v>
      </c>
      <c r="E85" s="3" t="s">
        <v>470</v>
      </c>
      <c r="F85" s="3" t="s">
        <v>471</v>
      </c>
      <c r="G85" s="3" t="s">
        <v>287</v>
      </c>
      <c r="H85" s="3" t="s">
        <v>472</v>
      </c>
    </row>
    <row r="86">
      <c r="A86" s="3" t="s">
        <v>473</v>
      </c>
      <c r="B86" s="7" t="s">
        <v>474</v>
      </c>
      <c r="C86" s="3" t="s">
        <v>214</v>
      </c>
      <c r="D86" s="3">
        <v>1.3108715155E10</v>
      </c>
      <c r="E86" s="3" t="s">
        <v>270</v>
      </c>
      <c r="F86" s="3" t="s">
        <v>475</v>
      </c>
      <c r="G86" s="3" t="s">
        <v>62</v>
      </c>
      <c r="H86" s="3" t="s">
        <v>476</v>
      </c>
    </row>
    <row r="87">
      <c r="A87" s="3" t="s">
        <v>477</v>
      </c>
      <c r="B87" s="7" t="s">
        <v>478</v>
      </c>
      <c r="C87" s="3" t="s">
        <v>214</v>
      </c>
      <c r="D87" s="3">
        <v>1.2136260571E10</v>
      </c>
      <c r="E87" s="3" t="s">
        <v>433</v>
      </c>
      <c r="F87" s="3" t="s">
        <v>479</v>
      </c>
      <c r="G87" s="3" t="s">
        <v>80</v>
      </c>
      <c r="H87" s="3" t="s">
        <v>480</v>
      </c>
    </row>
    <row r="88">
      <c r="A88" s="3" t="s">
        <v>481</v>
      </c>
      <c r="B88" s="7" t="s">
        <v>482</v>
      </c>
      <c r="C88" s="3" t="s">
        <v>120</v>
      </c>
      <c r="D88" s="3">
        <v>1.2157679477E10</v>
      </c>
      <c r="E88" s="3" t="s">
        <v>483</v>
      </c>
      <c r="F88" s="3" t="s">
        <v>484</v>
      </c>
      <c r="G88" s="3" t="s">
        <v>217</v>
      </c>
      <c r="H88" s="3" t="s">
        <v>485</v>
      </c>
    </row>
    <row r="89">
      <c r="A89" s="3" t="s">
        <v>486</v>
      </c>
      <c r="B89" s="7" t="s">
        <v>487</v>
      </c>
      <c r="C89" s="3" t="s">
        <v>120</v>
      </c>
      <c r="D89" s="3">
        <v>1.2156885488E10</v>
      </c>
      <c r="E89" s="3" t="s">
        <v>488</v>
      </c>
      <c r="F89" s="3" t="s">
        <v>489</v>
      </c>
      <c r="G89" s="3" t="s">
        <v>490</v>
      </c>
      <c r="H89" s="3" t="s">
        <v>491</v>
      </c>
    </row>
    <row r="90">
      <c r="A90" s="3" t="s">
        <v>492</v>
      </c>
      <c r="B90" s="7" t="s">
        <v>493</v>
      </c>
      <c r="C90" s="3" t="s">
        <v>120</v>
      </c>
      <c r="D90" s="3">
        <v>1.215778131E10</v>
      </c>
      <c r="E90" s="3" t="s">
        <v>494</v>
      </c>
      <c r="F90" s="3" t="s">
        <v>495</v>
      </c>
      <c r="G90" s="3" t="s">
        <v>68</v>
      </c>
      <c r="H90" s="3" t="s">
        <v>496</v>
      </c>
    </row>
    <row r="91">
      <c r="A91" s="3" t="s">
        <v>497</v>
      </c>
      <c r="B91" s="7" t="s">
        <v>498</v>
      </c>
      <c r="C91" s="3" t="s">
        <v>499</v>
      </c>
      <c r="D91" s="3">
        <v>1.2159146919E10</v>
      </c>
      <c r="E91" s="3" t="s">
        <v>331</v>
      </c>
      <c r="F91" s="3" t="s">
        <v>500</v>
      </c>
      <c r="G91" s="3" t="s">
        <v>80</v>
      </c>
      <c r="H91" s="3" t="s">
        <v>501</v>
      </c>
    </row>
    <row r="92">
      <c r="A92" s="3" t="s">
        <v>502</v>
      </c>
      <c r="B92" s="7" t="s">
        <v>503</v>
      </c>
      <c r="C92" s="3" t="s">
        <v>120</v>
      </c>
      <c r="D92" s="3">
        <v>1.267457557E10</v>
      </c>
      <c r="E92" s="3" t="s">
        <v>504</v>
      </c>
      <c r="F92" s="3" t="s">
        <v>505</v>
      </c>
      <c r="G92" s="3" t="s">
        <v>20</v>
      </c>
      <c r="H92" s="9" t="s">
        <v>506</v>
      </c>
    </row>
    <row r="93">
      <c r="A93" s="3" t="s">
        <v>507</v>
      </c>
      <c r="B93" s="7" t="s">
        <v>508</v>
      </c>
      <c r="C93" s="3" t="s">
        <v>120</v>
      </c>
      <c r="D93" s="3">
        <v>1.2674438487E10</v>
      </c>
      <c r="E93" s="3" t="s">
        <v>509</v>
      </c>
      <c r="F93" s="3" t="s">
        <v>510</v>
      </c>
      <c r="G93" s="3" t="s">
        <v>511</v>
      </c>
      <c r="H93" s="3" t="s">
        <v>512</v>
      </c>
    </row>
    <row r="94">
      <c r="A94" s="3" t="s">
        <v>513</v>
      </c>
      <c r="B94" s="7" t="s">
        <v>514</v>
      </c>
      <c r="C94" s="3" t="s">
        <v>499</v>
      </c>
      <c r="D94" s="3">
        <v>1.6125627487E10</v>
      </c>
      <c r="E94" s="3" t="s">
        <v>306</v>
      </c>
      <c r="F94" s="3" t="s">
        <v>515</v>
      </c>
      <c r="G94" s="3" t="s">
        <v>516</v>
      </c>
      <c r="H94" s="3" t="s">
        <v>517</v>
      </c>
    </row>
    <row r="95">
      <c r="A95" s="3" t="s">
        <v>518</v>
      </c>
      <c r="B95" s="7" t="s">
        <v>519</v>
      </c>
      <c r="C95" s="3" t="s">
        <v>120</v>
      </c>
      <c r="D95" s="3">
        <v>1.6104332363E10</v>
      </c>
      <c r="E95" s="3" t="s">
        <v>433</v>
      </c>
      <c r="F95" s="3" t="s">
        <v>520</v>
      </c>
      <c r="G95" s="3" t="s">
        <v>80</v>
      </c>
      <c r="H95" s="3" t="s">
        <v>521</v>
      </c>
    </row>
    <row r="96">
      <c r="A96" s="3" t="s">
        <v>522</v>
      </c>
      <c r="B96" s="7" t="s">
        <v>523</v>
      </c>
      <c r="C96" s="3" t="s">
        <v>499</v>
      </c>
      <c r="D96" s="3">
        <v>1.8566739746E10</v>
      </c>
      <c r="E96" s="3" t="s">
        <v>524</v>
      </c>
      <c r="F96" s="3" t="s">
        <v>525</v>
      </c>
      <c r="G96" s="3" t="s">
        <v>526</v>
      </c>
      <c r="H96" s="3" t="s">
        <v>527</v>
      </c>
    </row>
    <row r="97">
      <c r="A97" s="3" t="s">
        <v>528</v>
      </c>
      <c r="B97" s="7" t="s">
        <v>529</v>
      </c>
      <c r="C97" s="3" t="s">
        <v>530</v>
      </c>
      <c r="D97" s="3">
        <v>1.6108640342E10</v>
      </c>
      <c r="E97" s="3" t="s">
        <v>531</v>
      </c>
      <c r="F97" s="3" t="s">
        <v>532</v>
      </c>
      <c r="G97" s="3" t="s">
        <v>80</v>
      </c>
      <c r="H97" s="3" t="s">
        <v>533</v>
      </c>
    </row>
    <row r="98">
      <c r="A98" s="3" t="s">
        <v>534</v>
      </c>
      <c r="B98" s="7" t="s">
        <v>535</v>
      </c>
      <c r="C98" s="3" t="s">
        <v>120</v>
      </c>
      <c r="D98" s="3">
        <v>1.2153706696E10</v>
      </c>
      <c r="E98" s="3" t="s">
        <v>536</v>
      </c>
      <c r="F98" s="3" t="s">
        <v>537</v>
      </c>
      <c r="G98" s="3" t="s">
        <v>68</v>
      </c>
      <c r="H98" s="3" t="s">
        <v>538</v>
      </c>
    </row>
    <row r="99">
      <c r="A99" s="3" t="s">
        <v>539</v>
      </c>
      <c r="B99" s="7" t="s">
        <v>540</v>
      </c>
      <c r="C99" s="3" t="s">
        <v>120</v>
      </c>
      <c r="D99" s="3">
        <v>1.21591517E10</v>
      </c>
      <c r="E99" s="3" t="s">
        <v>541</v>
      </c>
      <c r="F99" s="3" t="s">
        <v>542</v>
      </c>
      <c r="G99" s="3" t="s">
        <v>287</v>
      </c>
      <c r="H99" s="3" t="s">
        <v>543</v>
      </c>
    </row>
    <row r="100">
      <c r="A100" s="3" t="s">
        <v>544</v>
      </c>
      <c r="B100" s="7" t="s">
        <v>545</v>
      </c>
      <c r="C100" s="3" t="s">
        <v>499</v>
      </c>
      <c r="D100" s="3">
        <v>1.6108642798E10</v>
      </c>
      <c r="E100" s="3" t="s">
        <v>55</v>
      </c>
      <c r="F100" s="3" t="s">
        <v>546</v>
      </c>
      <c r="G100" s="3" t="s">
        <v>276</v>
      </c>
      <c r="H100" s="3" t="s">
        <v>547</v>
      </c>
    </row>
    <row r="101">
      <c r="B101" s="10"/>
    </row>
    <row r="102">
      <c r="B102" s="11"/>
    </row>
    <row r="103">
      <c r="B103" s="11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</hyperlinks>
  <drawing r:id="rId100"/>
</worksheet>
</file>